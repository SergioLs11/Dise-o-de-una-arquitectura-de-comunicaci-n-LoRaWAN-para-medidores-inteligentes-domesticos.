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10"/>
  <workbookPr filterPrivacy="1" codeName="ThisWorkbook"/>
  <xr:revisionPtr revIDLastSave="0" documentId="13_ncr:1_{000FB352-1055-41F0-BBC7-51B3E7D1BBEC}" xr6:coauthVersionLast="47" xr6:coauthVersionMax="47" xr10:uidLastSave="{00000000-0000-0000-0000-000000000000}"/>
  <bookViews>
    <workbookView xWindow="-120" yWindow="-120" windowWidth="20730" windowHeight="11040" xr2:uid="{00000000-000D-0000-FFFF-FFFF00000000}"/>
  </bookViews>
  <sheets>
    <sheet name="ProjectSchedule" sheetId="11" r:id="rId1"/>
  </sheets>
  <definedNames>
    <definedName name="_xlnm.Print_Area" localSheetId="0">ProjectSchedule!$C$1:$EK$41</definedName>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ProjectSchedule!#REF!</definedName>
    <definedName name="task_start" localSheetId="0">ProjectSchedule!$E1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11" l="1"/>
  <c r="F54" i="11"/>
  <c r="E56" i="11"/>
  <c r="F56" i="11" s="1"/>
  <c r="F57" i="11" s="1"/>
  <c r="E51" i="11"/>
  <c r="F47" i="11"/>
  <c r="E47" i="11"/>
  <c r="F12" i="11"/>
  <c r="E11" i="11"/>
  <c r="E12" i="11" s="1"/>
  <c r="F41" i="11"/>
  <c r="H41" i="11" s="1"/>
  <c r="E53" i="11"/>
  <c r="F53" i="11" s="1"/>
  <c r="E54" i="11" s="1"/>
  <c r="F18" i="11"/>
  <c r="E19" i="11" s="1"/>
  <c r="F19" i="11" s="1"/>
  <c r="E21" i="11" s="1"/>
  <c r="F21" i="11" s="1"/>
  <c r="E22" i="11" s="1"/>
  <c r="F22" i="11" s="1"/>
  <c r="E23" i="11" s="1"/>
  <c r="F23" i="11" s="1"/>
  <c r="E25" i="11" s="1"/>
  <c r="F25" i="11" s="1"/>
  <c r="E26" i="11" s="1"/>
  <c r="F26" i="11" s="1"/>
  <c r="E27" i="11" s="1"/>
  <c r="F27" i="11" s="1"/>
  <c r="E30" i="11" s="1"/>
  <c r="F30" i="11" s="1"/>
  <c r="E31" i="11" s="1"/>
  <c r="F31" i="11" s="1"/>
  <c r="E33" i="11" s="1"/>
  <c r="F33" i="11" s="1"/>
  <c r="E34" i="11" s="1"/>
  <c r="F34" i="11" s="1"/>
  <c r="E14" i="11"/>
  <c r="F14" i="11"/>
  <c r="E15" i="11" s="1"/>
  <c r="F15" i="11" s="1"/>
  <c r="E16" i="11" s="1"/>
  <c r="F16" i="11" s="1"/>
  <c r="H29" i="11"/>
  <c r="H32" i="11"/>
  <c r="H35" i="11"/>
  <c r="H39" i="11"/>
  <c r="H7" i="11"/>
  <c r="E58" i="11" l="1"/>
  <c r="F58" i="11" s="1"/>
  <c r="E59" i="11" s="1"/>
  <c r="F59" i="11" s="1"/>
  <c r="E37" i="11"/>
  <c r="F37" i="11" s="1"/>
  <c r="E36" i="11"/>
  <c r="F36" i="11" s="1"/>
  <c r="E38" i="11"/>
  <c r="F38" i="11" s="1"/>
  <c r="E40" i="11" s="1"/>
  <c r="H30" i="11"/>
  <c r="H33" i="11"/>
  <c r="F40" i="11" l="1"/>
  <c r="H40" i="11" s="1"/>
  <c r="H36" i="11"/>
  <c r="H34" i="11"/>
  <c r="H31" i="11"/>
  <c r="H37" i="11"/>
  <c r="H22" i="11"/>
  <c r="I5" i="11"/>
  <c r="H27" i="11"/>
  <c r="H26" i="11"/>
  <c r="H24" i="11"/>
  <c r="H21" i="11"/>
  <c r="H20" i="11"/>
  <c r="H17" i="11"/>
  <c r="H13" i="11"/>
  <c r="H38" i="11" l="1"/>
  <c r="I6" i="11"/>
  <c r="H14" i="11" l="1"/>
  <c r="H25" i="11"/>
  <c r="H15" i="11"/>
  <c r="H18" i="11"/>
  <c r="J5" i="11"/>
  <c r="K5" i="11" s="1"/>
  <c r="L5" i="11" s="1"/>
  <c r="M5" i="11" s="1"/>
  <c r="N5" i="11" s="1"/>
  <c r="I4" i="11"/>
  <c r="O5" i="11" l="1"/>
  <c r="P5" i="11" s="1"/>
  <c r="P4" i="11" s="1"/>
  <c r="N6" i="11"/>
  <c r="H23" i="11"/>
  <c r="H19" i="11"/>
  <c r="H16" i="11"/>
  <c r="J6" i="11"/>
  <c r="Q5" i="11" l="1"/>
  <c r="R5" i="11" s="1"/>
  <c r="S5" i="11" s="1"/>
  <c r="T5" i="11" s="1"/>
  <c r="U5" i="11" s="1"/>
  <c r="V5" i="11" s="1"/>
  <c r="W5" i="11" s="1"/>
  <c r="W4" i="11" s="1"/>
  <c r="K6" i="11"/>
  <c r="X5" i="11" l="1"/>
  <c r="Y5" i="11" s="1"/>
  <c r="Z5" i="11" s="1"/>
  <c r="AA5" i="11" s="1"/>
  <c r="AB5" i="11" s="1"/>
  <c r="AC5" i="11" s="1"/>
  <c r="AD5" i="11" s="1"/>
  <c r="AD4" i="11" s="1"/>
  <c r="L6" i="11"/>
  <c r="AE5" i="11" l="1"/>
  <c r="AF5" i="11" s="1"/>
  <c r="AG5" i="11" s="1"/>
  <c r="AH5" i="11" s="1"/>
  <c r="AI5" i="11" s="1"/>
  <c r="AJ5" i="11" s="1"/>
  <c r="AK5" i="11" s="1"/>
  <c r="AK4" i="11" s="1"/>
  <c r="M6" i="11"/>
  <c r="AL5" i="11" l="1"/>
  <c r="AM5" i="11" s="1"/>
  <c r="AN5" i="11" s="1"/>
  <c r="AO5" i="11" s="1"/>
  <c r="AP5" i="11" s="1"/>
  <c r="AQ5" i="11" s="1"/>
  <c r="AR5" i="11" s="1"/>
  <c r="AR4" i="11" s="1"/>
  <c r="AS5" i="11" l="1"/>
  <c r="AS6" i="11" s="1"/>
  <c r="O6" i="11"/>
  <c r="AT5" i="11" l="1"/>
  <c r="AT6" i="11" s="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l="1"/>
  <c r="AY5" i="11"/>
  <c r="AY4" i="11" s="1"/>
  <c r="AZ5" i="11" l="1"/>
  <c r="AY6" i="11"/>
  <c r="AX6" i="11"/>
  <c r="BA5" i="11" l="1"/>
  <c r="AZ6" i="11"/>
  <c r="BB5" i="11" l="1"/>
  <c r="BA6" i="11"/>
  <c r="BB6" i="11" l="1"/>
  <c r="BC5" i="11"/>
  <c r="BD5" i="11" l="1"/>
  <c r="BC6" i="11"/>
  <c r="BE5" i="11" l="1"/>
  <c r="BD6" i="11"/>
  <c r="BF5" i="11" l="1"/>
  <c r="BF4" i="11" s="1"/>
  <c r="BE6" i="11" l="1"/>
  <c r="BF6" i="11"/>
  <c r="BG5" i="11"/>
  <c r="BG6" i="11" l="1"/>
  <c r="BH5" i="11"/>
  <c r="BI5" i="11" l="1"/>
  <c r="BH6" i="11"/>
  <c r="BJ5" i="11" l="1"/>
  <c r="BI6" i="11"/>
  <c r="BK5" i="11" l="1"/>
  <c r="BJ6" i="11"/>
  <c r="BL5" i="11" l="1"/>
  <c r="BK6" i="11"/>
  <c r="BL6" i="11" l="1"/>
  <c r="BM5" i="11"/>
  <c r="BM4" i="11" l="1"/>
  <c r="BM6" i="11"/>
  <c r="BN5" i="11"/>
  <c r="BO5" i="11" l="1"/>
  <c r="BN6" i="11"/>
  <c r="BP5" i="11" l="1"/>
  <c r="BO6" i="11"/>
  <c r="BQ5" i="11" l="1"/>
  <c r="BP6" i="11"/>
  <c r="BQ6" i="11" l="1"/>
  <c r="BR5" i="11"/>
  <c r="BR6" i="11" l="1"/>
  <c r="BS5" i="11"/>
  <c r="BS6" i="11" l="1"/>
  <c r="BT5" i="11"/>
  <c r="BT4" i="11" l="1"/>
  <c r="BU5" i="11"/>
  <c r="BT6" i="11"/>
  <c r="BV5" i="11" l="1"/>
  <c r="BU6" i="11"/>
  <c r="BW5" i="11" l="1"/>
  <c r="BV6" i="11"/>
  <c r="BW6" i="11" l="1"/>
  <c r="BX5" i="11"/>
  <c r="BX6" i="11" l="1"/>
  <c r="BY5" i="11"/>
  <c r="BY6" i="11" l="1"/>
  <c r="BZ5" i="11"/>
  <c r="BZ6" i="11" l="1"/>
  <c r="CA5" i="11"/>
  <c r="CB5" i="11" l="1"/>
  <c r="CA4" i="11"/>
  <c r="CA6" i="11"/>
  <c r="CB6" i="11" l="1"/>
  <c r="CC5" i="11"/>
  <c r="CD5" i="11" l="1"/>
  <c r="CC6" i="11"/>
  <c r="CE5" i="11" l="1"/>
  <c r="CD6" i="11"/>
  <c r="CE6" i="11" l="1"/>
  <c r="CF5" i="11"/>
  <c r="CG5" i="11" l="1"/>
  <c r="CF6" i="11"/>
  <c r="CG6" i="11" l="1"/>
  <c r="CH5" i="11"/>
  <c r="CI5" i="11" l="1"/>
  <c r="CH4" i="11"/>
  <c r="CH6" i="11"/>
  <c r="CJ5" i="11" l="1"/>
  <c r="CI6" i="11"/>
  <c r="CJ6" i="11" l="1"/>
  <c r="CK5" i="11"/>
  <c r="CK6" i="11" l="1"/>
  <c r="CL5" i="11"/>
  <c r="CL6" i="11" l="1"/>
  <c r="CM5" i="11"/>
  <c r="CM6" i="11" l="1"/>
  <c r="CN5" i="11"/>
  <c r="CN6" i="11" l="1"/>
  <c r="CO5" i="11"/>
  <c r="CP5" i="11" l="1"/>
  <c r="CO6" i="11"/>
  <c r="CO4" i="11"/>
  <c r="CQ5" i="11" l="1"/>
  <c r="CP6" i="11"/>
  <c r="CQ6" i="11" l="1"/>
  <c r="CR5" i="11"/>
  <c r="CR6" i="11" l="1"/>
  <c r="CS5" i="11"/>
  <c r="CS6" i="11" l="1"/>
  <c r="CT5" i="11"/>
  <c r="CT6" i="11" l="1"/>
  <c r="CU5" i="11"/>
  <c r="CU6" i="11" l="1"/>
  <c r="CV5" i="11"/>
  <c r="CV6" i="11" l="1"/>
  <c r="CV4" i="11"/>
  <c r="CW5" i="11"/>
  <c r="CX5" i="11" l="1"/>
  <c r="CW6" i="11"/>
  <c r="CX6" i="11" l="1"/>
  <c r="CY5" i="11"/>
  <c r="CZ5" i="11" l="1"/>
  <c r="CY6" i="11"/>
  <c r="CZ6" i="11" l="1"/>
  <c r="DA5" i="11"/>
  <c r="DA6" i="11" l="1"/>
  <c r="DB5" i="11"/>
  <c r="DB6" i="11" l="1"/>
  <c r="DC5" i="11"/>
  <c r="DC6" i="11" l="1"/>
  <c r="DC4" i="11"/>
  <c r="DD5" i="11"/>
  <c r="DD6" i="11" l="1"/>
  <c r="DE5" i="11"/>
  <c r="DF5" i="11" l="1"/>
  <c r="DE6" i="11"/>
  <c r="DG5" i="11" l="1"/>
  <c r="DF6" i="11"/>
  <c r="DG6" i="11" l="1"/>
  <c r="DH5" i="11"/>
  <c r="DH6" i="11" l="1"/>
  <c r="DI5" i="11"/>
  <c r="DI6" i="11" l="1"/>
  <c r="DJ5" i="11"/>
  <c r="DK5" i="11" l="1"/>
  <c r="DJ6" i="11"/>
  <c r="DJ4" i="11"/>
  <c r="DK6" i="11" l="1"/>
  <c r="DL5" i="11"/>
  <c r="DM5" i="11" l="1"/>
  <c r="DL6" i="11"/>
  <c r="DN5" i="11" l="1"/>
  <c r="DM6" i="11"/>
  <c r="DO5" i="11" l="1"/>
  <c r="DN6" i="11"/>
  <c r="DP5" i="11" l="1"/>
  <c r="DO6" i="11"/>
  <c r="DP6" i="11" l="1"/>
  <c r="DQ5" i="11"/>
  <c r="DQ4" i="11" l="1"/>
  <c r="DR5" i="11"/>
  <c r="DQ6" i="11"/>
  <c r="DS5" i="11" l="1"/>
  <c r="DR6" i="11"/>
  <c r="DS6" i="11" l="1"/>
  <c r="DT5" i="11"/>
  <c r="DT6" i="11" l="1"/>
  <c r="DU5" i="11"/>
  <c r="DU6" i="11" l="1"/>
  <c r="DV5" i="11"/>
  <c r="DV6" i="11" l="1"/>
  <c r="DW5" i="11"/>
  <c r="DW6" i="11" l="1"/>
  <c r="DX5" i="11"/>
  <c r="DX6" i="11" l="1"/>
  <c r="DX4" i="11"/>
  <c r="DY5" i="11"/>
  <c r="DY6" i="11" l="1"/>
  <c r="DZ5" i="11"/>
  <c r="EA5" i="11" l="1"/>
  <c r="DZ6" i="11"/>
  <c r="EB5" i="11" l="1"/>
  <c r="EA6" i="11"/>
  <c r="EB6" i="11" l="1"/>
  <c r="EC5" i="11"/>
  <c r="ED5" i="11" l="1"/>
  <c r="EC6" i="11"/>
  <c r="ED6" i="11" l="1"/>
  <c r="EE5" i="11"/>
  <c r="EE6" i="11" l="1"/>
  <c r="EF5" i="11"/>
  <c r="EE4" i="11"/>
  <c r="EF6" i="11" l="1"/>
  <c r="EG5" i="11"/>
  <c r="EG6" i="11" l="1"/>
  <c r="EH5" i="11"/>
  <c r="EH6" i="11" l="1"/>
  <c r="EI5" i="11"/>
  <c r="EJ5" i="11" l="1"/>
  <c r="EI6" i="11"/>
  <c r="EJ6" i="11" l="1"/>
  <c r="EK5" i="11"/>
  <c r="EK6" i="11" l="1"/>
  <c r="EL5" i="11"/>
  <c r="EL4" i="11" l="1"/>
  <c r="EM5" i="11"/>
  <c r="EL6" i="11"/>
  <c r="EM6" i="11" l="1"/>
  <c r="EN5" i="11"/>
  <c r="EN6" i="11" l="1"/>
  <c r="EO5" i="11"/>
  <c r="EO6" i="11" l="1"/>
  <c r="EP5" i="11"/>
  <c r="EP6" i="11" l="1"/>
  <c r="EQ5" i="11"/>
  <c r="EQ6" i="11" l="1"/>
  <c r="ER5" i="11"/>
  <c r="ER6" i="11" l="1"/>
  <c r="ES5" i="11"/>
  <c r="ES4" i="11" l="1"/>
  <c r="ET5" i="11"/>
  <c r="ES6" i="11"/>
  <c r="EU5" i="11" l="1"/>
  <c r="ET6" i="11"/>
  <c r="EV5" i="11" l="1"/>
  <c r="EU6" i="11"/>
  <c r="EV6" i="11" l="1"/>
  <c r="EW5" i="11"/>
  <c r="EW6" i="11" l="1"/>
  <c r="EX5" i="11"/>
  <c r="EX6" i="11" l="1"/>
  <c r="EY5" i="11"/>
  <c r="EY6" i="11" l="1"/>
  <c r="EZ5" i="11"/>
  <c r="EZ4" i="11" l="1"/>
  <c r="FA5" i="11"/>
  <c r="EZ6" i="11"/>
  <c r="FB5" i="11" l="1"/>
  <c r="FA6" i="11"/>
  <c r="FB6" i="11" l="1"/>
  <c r="FC5" i="11"/>
  <c r="FC6" i="11" l="1"/>
  <c r="FD5" i="11"/>
  <c r="FD6" i="11" l="1"/>
  <c r="FE5" i="11"/>
  <c r="FF5" i="11" l="1"/>
  <c r="FE6" i="11"/>
  <c r="FG5" i="11" l="1"/>
  <c r="FF6" i="11"/>
  <c r="FG6" i="11" l="1"/>
  <c r="FG4" i="11"/>
  <c r="FH5" i="11"/>
  <c r="FI5" i="11" l="1"/>
  <c r="FH6" i="11"/>
  <c r="FJ5" i="11" l="1"/>
  <c r="FI6" i="11"/>
  <c r="FJ6" i="11" l="1"/>
  <c r="FK5" i="11"/>
  <c r="FL5" i="11" l="1"/>
  <c r="FK6" i="11"/>
  <c r="FL6" i="11" l="1"/>
  <c r="FM5" i="11"/>
  <c r="FM6" i="11" l="1"/>
  <c r="FN5" i="11"/>
  <c r="FN6" i="11" l="1"/>
  <c r="FO5" i="11"/>
  <c r="FN4" i="11"/>
  <c r="FP5" i="11" l="1"/>
  <c r="FO6" i="11"/>
  <c r="FQ5" i="11" l="1"/>
  <c r="FP6" i="11"/>
  <c r="FQ6" i="11" l="1"/>
  <c r="FR5" i="11"/>
  <c r="FS5" i="11" l="1"/>
  <c r="FR6" i="11"/>
  <c r="FT5" i="11" l="1"/>
  <c r="FS6" i="11"/>
  <c r="FT6" i="11" l="1"/>
  <c r="FU5" i="11"/>
  <c r="FV5" i="11" l="1"/>
  <c r="FU4" i="11"/>
  <c r="FU6" i="11"/>
  <c r="FV6" i="11" l="1"/>
  <c r="FW5" i="11"/>
  <c r="FX5" i="11" l="1"/>
  <c r="FW6" i="11"/>
  <c r="FX6" i="11" l="1"/>
  <c r="FY5" i="11"/>
  <c r="FY6" i="11" l="1"/>
  <c r="FZ5" i="11"/>
  <c r="GA5" i="11" l="1"/>
  <c r="FZ6" i="11"/>
  <c r="GA6" i="11" l="1"/>
  <c r="GB5" i="11"/>
  <c r="GB6" i="11" l="1"/>
  <c r="GB4" i="11"/>
  <c r="GC5" i="11"/>
  <c r="GC6" i="11" l="1"/>
  <c r="GD5" i="11"/>
  <c r="GD6" i="11" l="1"/>
  <c r="GE5" i="11"/>
  <c r="GE6" i="11" l="1"/>
  <c r="GF5" i="11"/>
  <c r="GF6" i="11" l="1"/>
  <c r="GG5" i="11"/>
  <c r="GG6" i="11" l="1"/>
  <c r="GH5" i="11"/>
  <c r="GH6" i="11" l="1"/>
  <c r="GI5" i="11"/>
  <c r="GI6" i="11" l="1"/>
  <c r="GI4" i="11"/>
  <c r="GJ5" i="11"/>
  <c r="GJ6" i="11" l="1"/>
  <c r="GK5" i="11"/>
  <c r="GL5" i="11" l="1"/>
  <c r="GK6" i="11"/>
  <c r="GM5" i="11" l="1"/>
  <c r="GL6" i="11"/>
  <c r="GN5" i="11" l="1"/>
  <c r="GM6" i="11"/>
  <c r="GN6" i="11" l="1"/>
  <c r="GO5" i="11"/>
  <c r="GP5" i="11" l="1"/>
  <c r="GO6" i="11"/>
  <c r="GP4" i="11" l="1"/>
  <c r="GQ5" i="11"/>
  <c r="GP6" i="11"/>
  <c r="GR5" i="11" l="1"/>
  <c r="GQ6" i="11"/>
  <c r="GS5" i="11" l="1"/>
  <c r="GR6" i="11"/>
  <c r="GT5" i="11" l="1"/>
  <c r="GS6" i="11"/>
  <c r="GU5" i="11" l="1"/>
  <c r="GT6" i="11"/>
  <c r="GV5" i="11" l="1"/>
  <c r="GU6" i="11"/>
  <c r="GW5" i="11" l="1"/>
  <c r="GV6" i="11"/>
  <c r="GX5" i="11" l="1"/>
  <c r="GW6" i="11"/>
  <c r="GW4" i="11"/>
  <c r="GY5" i="11" l="1"/>
  <c r="GX6" i="11"/>
  <c r="GZ5" i="11" l="1"/>
  <c r="GY6" i="11"/>
  <c r="GZ6" i="11" l="1"/>
  <c r="HA5" i="11"/>
  <c r="HA6" i="11" l="1"/>
  <c r="HB5" i="11"/>
  <c r="HC5" i="11" l="1"/>
  <c r="HB6" i="11"/>
  <c r="HD5" i="11" l="1"/>
  <c r="HC6" i="11"/>
  <c r="HD4" i="11" l="1"/>
  <c r="HE5" i="11"/>
  <c r="HD6" i="11"/>
  <c r="HE6" i="11" l="1"/>
  <c r="HF5" i="11"/>
  <c r="HG5" i="11" l="1"/>
  <c r="HF6" i="11"/>
  <c r="HG6" i="11" l="1"/>
  <c r="HH5" i="11"/>
  <c r="HH6" i="11" l="1"/>
  <c r="HI5" i="11"/>
  <c r="HJ5" i="11" l="1"/>
  <c r="HI6" i="11"/>
  <c r="HJ6" i="11" l="1"/>
  <c r="HK5" i="11"/>
  <c r="HK4" i="11" l="1"/>
  <c r="HK6" i="11"/>
  <c r="HL5" i="11"/>
  <c r="HL6" i="11" l="1"/>
  <c r="HM5" i="11"/>
  <c r="HN5" i="11" l="1"/>
  <c r="HM6" i="11"/>
  <c r="HO5" i="11" l="1"/>
  <c r="HN6" i="11"/>
  <c r="HO6" i="11" l="1"/>
  <c r="HP5" i="11"/>
  <c r="HP6" i="11" l="1"/>
  <c r="HQ5" i="11"/>
  <c r="HR5" i="11" l="1"/>
  <c r="HQ6" i="11"/>
  <c r="HR4" i="11" l="1"/>
  <c r="HR6" i="11"/>
  <c r="HS5" i="11"/>
  <c r="HS6" i="11" l="1"/>
  <c r="HT5" i="11"/>
  <c r="HU5" i="11" l="1"/>
  <c r="HT6" i="11"/>
  <c r="HU6" i="11" l="1"/>
  <c r="HV5" i="11"/>
  <c r="HV6" i="11" l="1"/>
  <c r="HW5" i="11"/>
  <c r="HW6" i="11" l="1"/>
  <c r="HX5" i="11"/>
  <c r="HX6" i="11" l="1"/>
  <c r="HY5" i="11"/>
  <c r="HZ5" i="11" l="1"/>
  <c r="HY4" i="11"/>
  <c r="HY6" i="11"/>
  <c r="HZ6" i="11" l="1"/>
  <c r="IA5" i="11"/>
  <c r="IA6" i="11" l="1"/>
  <c r="IB5" i="11"/>
  <c r="IC5" i="11" l="1"/>
  <c r="IB6" i="11"/>
  <c r="IC6" i="11" l="1"/>
  <c r="ID5" i="11"/>
  <c r="ID6" i="11" l="1"/>
  <c r="IE5" i="11"/>
  <c r="IF5" i="11" l="1"/>
  <c r="IE6" i="11"/>
  <c r="IG5" i="11" l="1"/>
  <c r="IF4" i="11"/>
  <c r="IF6" i="11"/>
  <c r="IH5" i="11" l="1"/>
  <c r="IG6" i="11"/>
  <c r="II5" i="11" l="1"/>
  <c r="IH6" i="11"/>
  <c r="IJ5" i="11" l="1"/>
  <c r="II6" i="11"/>
  <c r="IK5" i="11" l="1"/>
  <c r="IJ6" i="11"/>
  <c r="IL5" i="11" l="1"/>
  <c r="IK6" i="11"/>
  <c r="IM5" i="11" l="1"/>
  <c r="IL6" i="11"/>
  <c r="IM6" i="11" l="1"/>
  <c r="IM4" i="11"/>
  <c r="IN5" i="11"/>
  <c r="IN6" i="11" l="1"/>
  <c r="IO5" i="11"/>
  <c r="IP5" i="11" l="1"/>
  <c r="IO6" i="11"/>
  <c r="IP6" i="11" l="1"/>
  <c r="IQ5" i="11"/>
  <c r="IR5" i="11" l="1"/>
  <c r="IQ6" i="11"/>
  <c r="IS5" i="11" l="1"/>
  <c r="IR6" i="11"/>
  <c r="IT5" i="11" l="1"/>
  <c r="IS6" i="11"/>
  <c r="IU5" i="11" l="1"/>
  <c r="IT4" i="11"/>
  <c r="IT6" i="11"/>
  <c r="IU6" i="11" l="1"/>
  <c r="IV5" i="11"/>
  <c r="IV6" i="11" l="1"/>
  <c r="IW5" i="11"/>
  <c r="IX5" i="11" l="1"/>
  <c r="IW6" i="11"/>
  <c r="IY5" i="11" l="1"/>
  <c r="IX6" i="11"/>
  <c r="IY6" i="11" l="1"/>
  <c r="IZ5" i="11"/>
  <c r="IZ6" i="11" l="1"/>
  <c r="JA5" i="11"/>
  <c r="JA6" i="11" l="1"/>
  <c r="JA4" i="11"/>
  <c r="JB5" i="11"/>
  <c r="JB6" i="11" l="1"/>
  <c r="JC5" i="11"/>
  <c r="JC6" i="11" l="1"/>
  <c r="JD5" i="11"/>
  <c r="JE5" i="11" l="1"/>
  <c r="JD6" i="11"/>
  <c r="JE6" i="11" l="1"/>
  <c r="JF5" i="11"/>
  <c r="JG5" i="11" l="1"/>
  <c r="JF6" i="11"/>
  <c r="JH5" i="11" l="1"/>
  <c r="JG6" i="11"/>
  <c r="JH4" i="11" l="1"/>
  <c r="JI5" i="11"/>
  <c r="JH6" i="11"/>
  <c r="JJ5" i="11" l="1"/>
  <c r="JI6" i="11"/>
  <c r="JK5" i="11" l="1"/>
  <c r="JJ6" i="11"/>
  <c r="JL5" i="11" l="1"/>
  <c r="JK6" i="11"/>
  <c r="JL6" i="11" l="1"/>
  <c r="JM5" i="11"/>
  <c r="JM6" i="11" l="1"/>
  <c r="JN5" i="11"/>
  <c r="JN6" i="11" l="1"/>
  <c r="JO5" i="11"/>
  <c r="JO6" i="11" l="1"/>
  <c r="JO4" i="11"/>
  <c r="JP5" i="11"/>
  <c r="JQ5" i="11" l="1"/>
  <c r="JP6" i="11"/>
  <c r="JR5" i="11" l="1"/>
  <c r="JQ6" i="11"/>
  <c r="JS5" i="11" l="1"/>
  <c r="JR6" i="11"/>
  <c r="JS6" i="11" l="1"/>
  <c r="JT5" i="11"/>
  <c r="JU5" i="11" l="1"/>
  <c r="JT6" i="11"/>
  <c r="JV5" i="11" l="1"/>
  <c r="JU6" i="11"/>
  <c r="JW5" i="11" l="1"/>
  <c r="JV6" i="11"/>
  <c r="JV4" i="11"/>
  <c r="JX5" i="11" l="1"/>
  <c r="JW6" i="11"/>
  <c r="JX6" i="11" l="1"/>
  <c r="JY5" i="11"/>
  <c r="JZ5" i="11" l="1"/>
  <c r="JY6" i="11"/>
  <c r="JZ6" i="11" l="1"/>
  <c r="KA5" i="11"/>
  <c r="KA6" i="11" l="1"/>
  <c r="KB5" i="11"/>
  <c r="KB6" i="11" l="1"/>
  <c r="KC5" i="11"/>
  <c r="KC6" i="11" l="1"/>
  <c r="KC4" i="11"/>
  <c r="KD5" i="11"/>
  <c r="KD6" i="11" l="1"/>
  <c r="KE5" i="11"/>
  <c r="KF5" i="11" l="1"/>
  <c r="KE6" i="11"/>
  <c r="KF6" i="11" l="1"/>
  <c r="KG5" i="11"/>
  <c r="KH5" i="11" l="1"/>
  <c r="KG6" i="11"/>
  <c r="KI5" i="11" l="1"/>
  <c r="KH6" i="11"/>
  <c r="KJ5" i="11" l="1"/>
  <c r="KI6" i="11"/>
  <c r="KK5" i="11" l="1"/>
  <c r="KJ6" i="11"/>
  <c r="KJ4" i="11"/>
  <c r="KL5" i="11" l="1"/>
  <c r="KK6" i="11"/>
  <c r="KL6" i="11" l="1"/>
  <c r="KM5" i="11"/>
  <c r="KM6" i="11" l="1"/>
  <c r="KN5" i="11"/>
  <c r="KN6" i="11" l="1"/>
  <c r="KO5" i="11"/>
  <c r="KO6" i="11" l="1"/>
  <c r="KP5" i="11"/>
  <c r="KQ5" i="11" l="1"/>
  <c r="KP6" i="11"/>
  <c r="KR5" i="11" l="1"/>
  <c r="KQ4" i="11"/>
  <c r="KQ6" i="11"/>
  <c r="KR6" i="11" l="1"/>
  <c r="KS5" i="11"/>
  <c r="KT5" i="11" l="1"/>
  <c r="KS6" i="11"/>
  <c r="KU5" i="11" l="1"/>
  <c r="KT6" i="11"/>
  <c r="KV5" i="11" l="1"/>
  <c r="KU6" i="11"/>
  <c r="KV6" i="11" l="1"/>
  <c r="KW5" i="11"/>
  <c r="KX5" i="11" l="1"/>
  <c r="KW6" i="11"/>
  <c r="KX6" i="11" l="1"/>
  <c r="KY5" i="11"/>
  <c r="KX4" i="11"/>
  <c r="KY6" i="11" l="1"/>
  <c r="KZ5" i="11"/>
  <c r="KZ6" i="11" l="1"/>
  <c r="LA5" i="11"/>
  <c r="LA6" i="11" l="1"/>
  <c r="LB5" i="11"/>
  <c r="LB6" i="11" l="1"/>
  <c r="LC5" i="11"/>
  <c r="LC6" i="11" l="1"/>
  <c r="LD5" i="11"/>
  <c r="LD6" i="11" l="1"/>
  <c r="LE5" i="11"/>
  <c r="LE6" i="11" l="1"/>
  <c r="LE4" i="11"/>
  <c r="LF5" i="11"/>
  <c r="LG5" i="11" l="1"/>
  <c r="LF6" i="11"/>
  <c r="LG6" i="11" l="1"/>
  <c r="LH5" i="11"/>
  <c r="LI5" i="11" l="1"/>
  <c r="LH6" i="11"/>
  <c r="LI6" i="11" l="1"/>
  <c r="LJ5" i="11"/>
  <c r="LJ6" i="11" l="1"/>
  <c r="LK5" i="11"/>
  <c r="LK6" i="11" s="1"/>
</calcChain>
</file>

<file path=xl/sharedStrings.xml><?xml version="1.0" encoding="utf-8"?>
<sst xmlns="http://schemas.openxmlformats.org/spreadsheetml/2006/main" count="121" uniqueCount="76">
  <si>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</si>
  <si>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Diseño de una arquitectura de comunicación LoRaWAN para medidores inteligentes domésticos e industriales</t>
  </si>
  <si>
    <t>Escriba el nombre de la compañía en la celda B2.</t>
  </si>
  <si>
    <t>Pontificia Universidad Javeriana</t>
  </si>
  <si>
    <t>Escriba el nombre del responsable del proyecto en la celda B3. Escriba la fecha de comienzo del proyecto en la celda E3. Inicio del proyecto: la etiqueta se encuentra en la celda C3.</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</si>
  <si>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</si>
  <si>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</si>
  <si>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</si>
  <si>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</si>
  <si>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</si>
  <si>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</si>
  <si>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t>
  </si>
  <si>
    <t>INICIO</t>
  </si>
  <si>
    <t>FIN</t>
  </si>
  <si>
    <t>DÍAS</t>
  </si>
  <si>
    <t xml:space="preserve">No elimine esta fila. Esta fila está oculta para conservar una fórmula que se usa para resaltar el día actual dentro de la programación del proyecto. </t>
  </si>
  <si>
    <t>Documentación del proyecto</t>
  </si>
  <si>
    <t>Equipo de trabajo</t>
  </si>
  <si>
    <t>Entregables 2025-10</t>
  </si>
  <si>
    <t>Entrega documnto resumen</t>
  </si>
  <si>
    <t>Entrega documnto final</t>
  </si>
  <si>
    <t>Presentación plateamiento final del proyecto</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</si>
  <si>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</si>
  <si>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Estudio de gateways</t>
  </si>
  <si>
    <t>hasta aca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</si>
  <si>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</si>
  <si>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Revisar datasheets de gateways LoRaWAN disponibles</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</si>
  <si>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</si>
  <si>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Comparar características y desempeño entre gateways seleccionados</t>
  </si>
  <si>
    <t>Comparar precios y disponibilidad en el mercado</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</si>
  <si>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</si>
  <si>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Elección del gateway</t>
  </si>
  <si>
    <t>Analizar criterios de selección según requerimientos del proyecto</t>
  </si>
  <si>
    <t>Seleccionar gateway más adecuado para el entorno y requerimientos</t>
  </si>
  <si>
    <t>Bloque de título fase de ejemplo</t>
  </si>
  <si>
    <t>Selección de tarjeta</t>
  </si>
  <si>
    <t>Revisar tarjeta usada en la implementación actual</t>
  </si>
  <si>
    <t>Explorar tarjetas compatibles con gateway seleccionado</t>
  </si>
  <si>
    <t>Seleccionar la tarjeta adecuada según características técnicas</t>
  </si>
  <si>
    <t>Programar tarjeta</t>
  </si>
  <si>
    <t>Estudiar documentación oficial de la tarjeta</t>
  </si>
  <si>
    <t>Analizar ejemplos existentes de código para sensores</t>
  </si>
  <si>
    <t>Desarrollar script funcional con sensores</t>
  </si>
  <si>
    <t>Semana santa</t>
  </si>
  <si>
    <t>Descanso</t>
  </si>
  <si>
    <t>Esta es una fila vacía.</t>
  </si>
  <si>
    <t>Programar gateway</t>
  </si>
  <si>
    <t>Esta fila indica el final de la programación del proyecto. NO escriba nada en esta fila. 
Inserte nuevas filas encima de ésta para continuar creando la programación del proyecto.</t>
  </si>
  <si>
    <t>Configurar gateway según banda regional y keys LoRaWAN</t>
  </si>
  <si>
    <t>Verificar comunicación entre gateway y tarjeta</t>
  </si>
  <si>
    <t>Configuración del flujo de datos</t>
  </si>
  <si>
    <t>Revisar documentación del gateway y su conexión a InfluxDB</t>
  </si>
  <si>
    <t>Implementar nodos para enviar datos a InfluxDB</t>
  </si>
  <si>
    <t>Identificación de medidas relevantes</t>
  </si>
  <si>
    <t>Estudiar proyectos similares de monitoreo energético</t>
  </si>
  <si>
    <t>Evaluar variables medidas en esos sistemas</t>
  </si>
  <si>
    <t>Definir variables críticas del sistema propuesto</t>
  </si>
  <si>
    <t>Comparación de Spreading Factor</t>
  </si>
  <si>
    <t>Delimitar zona de cobertura y cantidad de datos a transmitir</t>
  </si>
  <si>
    <t>Definir valor de operación al que funcionarán los dispositivos para la transmisión LoRaWAN</t>
  </si>
  <si>
    <t>Periodo intersemestral</t>
  </si>
  <si>
    <t>Vacaciones</t>
  </si>
  <si>
    <t>Entregables 2025-30</t>
  </si>
  <si>
    <t>Entrega video avance</t>
  </si>
  <si>
    <t xml:space="preserve">Entrega preliminar libro final </t>
  </si>
  <si>
    <t>Entrega final libro</t>
  </si>
  <si>
    <t>Planeación sustentación</t>
  </si>
  <si>
    <t>Conexión gateway a la nube</t>
  </si>
  <si>
    <t>Implementación completa hacia la nube</t>
  </si>
  <si>
    <t xml:space="preserve">Completar la conexión desde la tarjeta hasta el gateway </t>
  </si>
  <si>
    <t>Validar los datos recibidos con los enviados</t>
  </si>
  <si>
    <t>Protocolo de pruebas</t>
  </si>
  <si>
    <t>Realizar envio de datos masivamente</t>
  </si>
  <si>
    <t>Variar las condiciones(distancia, obstaculos) de transmisión</t>
  </si>
  <si>
    <t>Analizar los resutados obtenidos por condicion</t>
  </si>
  <si>
    <t>Determinar el area de cobertura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</si>
</sst>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d\-m\-yy;@"/>
    <numFmt numFmtId="169" formatCode="d"/>
    <numFmt numFmtId="170" formatCode="ddd\,\ yyyy\-mm\-dd;@"/>
    <numFmt numFmtId="171" formatCode="d\ &quot;de&quot;\ mmmm\ &quot;de&quot;\ yyyy"/>
  </numFmts>
  <fonts count="2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34998626667073579"/>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70" fontId="7" fillId="0" borderId="3">
      <alignment horizontal="center" vertical="center"/>
    </xf>
    <xf numFmtId="168"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4" fontId="7" fillId="0" borderId="0" applyFont="0" applyFill="0" applyBorder="0" applyAlignment="0" applyProtection="0"/>
    <xf numFmtId="167" fontId="7" fillId="0" borderId="0" applyFont="0" applyFill="0" applyBorder="0" applyAlignment="0" applyProtection="0"/>
    <xf numFmtId="166" fontId="7" fillId="0" borderId="0" applyFont="0" applyFill="0" applyBorder="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11" applyNumberFormat="0" applyAlignment="0" applyProtection="0"/>
    <xf numFmtId="0" fontId="21" fillId="18" borderId="12" applyNumberFormat="0" applyAlignment="0" applyProtection="0"/>
    <xf numFmtId="0" fontId="22" fillId="18" borderId="11" applyNumberFormat="0" applyAlignment="0" applyProtection="0"/>
    <xf numFmtId="0" fontId="23" fillId="0" borderId="13" applyNumberFormat="0" applyFill="0" applyAlignment="0" applyProtection="0"/>
    <xf numFmtId="0" fontId="24" fillId="19" borderId="14" applyNumberFormat="0" applyAlignment="0" applyProtection="0"/>
    <xf numFmtId="0" fontId="25" fillId="0" borderId="0" applyNumberFormat="0" applyFill="0" applyBorder="0" applyAlignment="0" applyProtection="0"/>
    <xf numFmtId="0" fontId="7" fillId="20"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2"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2"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12"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8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0" fontId="5" fillId="9" borderId="2" xfId="0" applyFont="1" applyFill="1" applyBorder="1" applyAlignment="1">
      <alignment horizontal="left" vertical="center" indent="1"/>
    </xf>
    <xf numFmtId="0" fontId="5" fillId="6" borderId="2" xfId="0" applyFont="1" applyFill="1" applyBorder="1" applyAlignment="1">
      <alignment horizontal="left" vertical="center" indent="1"/>
    </xf>
    <xf numFmtId="0" fontId="5" fillId="5" borderId="2" xfId="0" applyFont="1" applyFill="1" applyBorder="1" applyAlignment="1">
      <alignment horizontal="left" vertical="center" indent="1"/>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8" borderId="2" xfId="11" applyFill="1">
      <alignment horizontal="center" vertical="center"/>
    </xf>
    <xf numFmtId="0" fontId="7" fillId="3" borderId="2" xfId="11" applyFill="1">
      <alignment horizontal="center" vertical="center"/>
    </xf>
    <xf numFmtId="0" fontId="7" fillId="9" borderId="2" xfId="11" applyFill="1">
      <alignment horizontal="center" vertical="center"/>
    </xf>
    <xf numFmtId="0" fontId="7" fillId="4" borderId="2" xfId="11" applyFill="1">
      <alignment horizontal="center" vertical="center"/>
    </xf>
    <xf numFmtId="0" fontId="7" fillId="6" borderId="2" xfId="11" applyFill="1">
      <alignment horizontal="center" vertical="center"/>
    </xf>
    <xf numFmtId="0" fontId="7" fillId="11"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0" fillId="0" borderId="10" xfId="0" applyBorder="1"/>
    <xf numFmtId="0" fontId="13" fillId="0" borderId="0" xfId="0" applyFont="1"/>
    <xf numFmtId="0" fontId="14" fillId="0" borderId="0" xfId="1" applyFont="1" applyProtection="1">
      <alignment vertical="top"/>
    </xf>
    <xf numFmtId="168" fontId="0" fillId="8" borderId="2" xfId="0" applyNumberFormat="1" applyFill="1" applyBorder="1" applyAlignment="1">
      <alignment horizontal="center" vertical="center"/>
    </xf>
    <xf numFmtId="168" fontId="4" fillId="8" borderId="2" xfId="0" applyNumberFormat="1" applyFont="1" applyFill="1" applyBorder="1" applyAlignment="1">
      <alignment horizontal="center" vertical="center"/>
    </xf>
    <xf numFmtId="168" fontId="7" fillId="3" borderId="2" xfId="10" applyFill="1">
      <alignment horizontal="center" vertical="center"/>
    </xf>
    <xf numFmtId="168" fontId="0" fillId="9" borderId="2" xfId="0" applyNumberFormat="1" applyFill="1" applyBorder="1" applyAlignment="1">
      <alignment horizontal="center" vertical="center"/>
    </xf>
    <xf numFmtId="168" fontId="4" fillId="9" borderId="2" xfId="0" applyNumberFormat="1" applyFont="1" applyFill="1" applyBorder="1" applyAlignment="1">
      <alignment horizontal="center" vertical="center"/>
    </xf>
    <xf numFmtId="168" fontId="7" fillId="4" borderId="2" xfId="10" applyFill="1">
      <alignment horizontal="center" vertical="center"/>
    </xf>
    <xf numFmtId="168" fontId="0" fillId="6" borderId="2" xfId="0" applyNumberFormat="1" applyFill="1" applyBorder="1" applyAlignment="1">
      <alignment horizontal="center" vertical="center"/>
    </xf>
    <xf numFmtId="168" fontId="4" fillId="6" borderId="2" xfId="0" applyNumberFormat="1" applyFont="1" applyFill="1" applyBorder="1" applyAlignment="1">
      <alignment horizontal="center" vertical="center"/>
    </xf>
    <xf numFmtId="168" fontId="7" fillId="11" borderId="2" xfId="10" applyFill="1">
      <alignment horizontal="center" vertical="center"/>
    </xf>
    <xf numFmtId="168" fontId="0" fillId="5" borderId="2" xfId="0" applyNumberFormat="1" applyFill="1" applyBorder="1" applyAlignment="1">
      <alignment horizontal="center" vertical="center"/>
    </xf>
    <xf numFmtId="168" fontId="4" fillId="5" borderId="2" xfId="0" applyNumberFormat="1" applyFont="1" applyFill="1" applyBorder="1" applyAlignment="1">
      <alignment horizontal="center" vertical="center"/>
    </xf>
    <xf numFmtId="168" fontId="7" fillId="10" borderId="2" xfId="10" applyFill="1">
      <alignment horizontal="center" vertical="center"/>
    </xf>
    <xf numFmtId="169" fontId="9" fillId="7" borderId="6" xfId="0" applyNumberFormat="1" applyFont="1" applyFill="1" applyBorder="1" applyAlignment="1">
      <alignment horizontal="center" vertical="center"/>
    </xf>
    <xf numFmtId="169" fontId="9" fillId="7" borderId="0" xfId="0" applyNumberFormat="1" applyFont="1" applyFill="1" applyAlignment="1">
      <alignment horizontal="center" vertical="center"/>
    </xf>
    <xf numFmtId="169" fontId="9" fillId="7" borderId="7" xfId="0" applyNumberFormat="1" applyFont="1" applyFill="1" applyBorder="1" applyAlignment="1">
      <alignment horizontal="center" vertical="center"/>
    </xf>
    <xf numFmtId="0" fontId="7" fillId="0" borderId="0" xfId="8">
      <alignment horizontal="right" indent="1"/>
    </xf>
    <xf numFmtId="0" fontId="7" fillId="3" borderId="2" xfId="12" applyFill="1" applyAlignment="1">
      <alignment horizontal="center" vertical="top" wrapText="1"/>
    </xf>
    <xf numFmtId="0" fontId="7" fillId="4" borderId="2" xfId="12" applyFill="1" applyAlignment="1">
      <alignment horizontal="left" vertical="center" wrapText="1" indent="2"/>
    </xf>
    <xf numFmtId="0" fontId="7" fillId="11" borderId="2" xfId="12" applyFill="1" applyAlignment="1">
      <alignment horizontal="left" vertical="center" wrapText="1" indent="2"/>
    </xf>
    <xf numFmtId="0" fontId="7" fillId="11" borderId="2" xfId="12" applyFill="1" applyAlignment="1">
      <alignment horizontal="center" vertical="center" wrapText="1"/>
    </xf>
    <xf numFmtId="0" fontId="7" fillId="10" borderId="2" xfId="12" applyFill="1" applyAlignment="1">
      <alignment horizontal="center" vertical="center" wrapText="1"/>
    </xf>
    <xf numFmtId="0" fontId="5" fillId="45" borderId="2" xfId="0" applyFont="1" applyFill="1" applyBorder="1" applyAlignment="1">
      <alignment horizontal="left" vertical="center" indent="1"/>
    </xf>
    <xf numFmtId="0" fontId="7" fillId="45" borderId="2" xfId="11" applyFill="1">
      <alignment horizontal="center" vertical="center"/>
    </xf>
    <xf numFmtId="168" fontId="0" fillId="45" borderId="2" xfId="0" applyNumberFormat="1" applyFill="1" applyBorder="1" applyAlignment="1">
      <alignment horizontal="center" vertical="center"/>
    </xf>
    <xf numFmtId="168" fontId="4" fillId="45" borderId="2" xfId="0" applyNumberFormat="1" applyFont="1" applyFill="1" applyBorder="1" applyAlignment="1">
      <alignment horizontal="center" vertical="center"/>
    </xf>
    <xf numFmtId="0" fontId="7" fillId="10" borderId="2" xfId="12" applyFill="1" applyAlignment="1">
      <alignment horizontal="left" vertical="center" wrapText="1" indent="2"/>
    </xf>
    <xf numFmtId="0" fontId="10" fillId="12" borderId="17" xfId="0" applyFont="1" applyFill="1" applyBorder="1" applyAlignment="1">
      <alignment horizontal="center" vertical="center" shrinkToFit="1"/>
    </xf>
    <xf numFmtId="0" fontId="0" fillId="0" borderId="18" xfId="0" applyBorder="1" applyAlignment="1">
      <alignment vertical="center"/>
    </xf>
    <xf numFmtId="169" fontId="9" fillId="0" borderId="0" xfId="0" applyNumberFormat="1" applyFont="1" applyAlignment="1">
      <alignment horizontal="center" vertical="center"/>
    </xf>
    <xf numFmtId="0" fontId="10" fillId="0" borderId="0" xfId="0" applyFont="1" applyAlignment="1">
      <alignment horizontal="center" vertical="center" shrinkToFit="1"/>
    </xf>
    <xf numFmtId="0" fontId="0" fillId="46" borderId="9" xfId="0" applyFill="1" applyBorder="1" applyAlignment="1">
      <alignment vertical="center"/>
    </xf>
    <xf numFmtId="0" fontId="7" fillId="7" borderId="2" xfId="12" applyFill="1" applyAlignment="1">
      <alignment horizontal="left" vertical="center" wrapText="1" indent="2"/>
    </xf>
    <xf numFmtId="0" fontId="7" fillId="7" borderId="2" xfId="11" applyFill="1">
      <alignment horizontal="center" vertical="center"/>
    </xf>
    <xf numFmtId="168" fontId="7" fillId="7" borderId="2" xfId="10" applyFill="1">
      <alignment horizontal="center" vertical="center"/>
    </xf>
    <xf numFmtId="0" fontId="0" fillId="7" borderId="9" xfId="0" applyFill="1" applyBorder="1" applyAlignment="1">
      <alignment vertical="center"/>
    </xf>
    <xf numFmtId="0" fontId="4" fillId="2" borderId="0" xfId="0" applyFont="1" applyFill="1" applyAlignment="1">
      <alignment horizontal="center" vertical="center"/>
    </xf>
    <xf numFmtId="168" fontId="0" fillId="7" borderId="2" xfId="0" applyNumberFormat="1" applyFill="1" applyBorder="1" applyAlignment="1">
      <alignment horizontal="center" vertical="center"/>
    </xf>
    <xf numFmtId="168" fontId="4" fillId="7" borderId="2" xfId="0" applyNumberFormat="1" applyFont="1" applyFill="1" applyBorder="1" applyAlignment="1">
      <alignment horizontal="center" vertical="center"/>
    </xf>
    <xf numFmtId="0" fontId="0" fillId="7" borderId="2" xfId="0" applyFill="1" applyBorder="1" applyAlignment="1">
      <alignment horizontal="left" vertical="center" wrapText="1" indent="1"/>
    </xf>
    <xf numFmtId="171" fontId="0" fillId="7" borderId="4" xfId="0" applyNumberFormat="1" applyFill="1" applyBorder="1" applyAlignment="1">
      <alignment horizontal="left" vertical="center" wrapText="1" indent="1"/>
    </xf>
    <xf numFmtId="171" fontId="0" fillId="7" borderId="1" xfId="0" applyNumberFormat="1" applyFill="1" applyBorder="1" applyAlignment="1">
      <alignment horizontal="left" vertical="center" wrapText="1" indent="1"/>
    </xf>
    <xf numFmtId="171" fontId="0" fillId="7" borderId="5" xfId="0" applyNumberFormat="1" applyFill="1" applyBorder="1" applyAlignment="1">
      <alignment horizontal="left" vertical="center" wrapText="1" indent="1"/>
    </xf>
    <xf numFmtId="170" fontId="7" fillId="0" borderId="3" xfId="9">
      <alignment horizontal="center" vertical="center"/>
    </xf>
    <xf numFmtId="171" fontId="0" fillId="0" borderId="0" xfId="0" applyNumberFormat="1" applyAlignment="1">
      <alignment horizontal="left" vertical="center" wrapText="1"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74">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73"/>
      <tableStyleElement type="headerRow" dxfId="172"/>
      <tableStyleElement type="totalRow" dxfId="171"/>
      <tableStyleElement type="firstColumn" dxfId="170"/>
      <tableStyleElement type="lastColumn" dxfId="169"/>
      <tableStyleElement type="firstRowStripe" dxfId="168"/>
      <tableStyleElement type="secondRowStripe" dxfId="167"/>
      <tableStyleElement type="firstColumnStripe" dxfId="166"/>
      <tableStyleElement type="secondColumnStripe" dxfId="16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E8B4E4"/>
      <color rgb="FF215881"/>
      <color rgb="FF42648A"/>
      <color rgb="FF969696"/>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MT60"/>
  <sheetViews>
    <sheetView showGridLines="0" tabSelected="1" showRuler="0" zoomScale="10" zoomScaleNormal="10" zoomScalePageLayoutView="70" workbookViewId="0">
      <pane ySplit="6" topLeftCell="A8" activePane="bottomLeft" state="frozen"/>
      <selection pane="bottomLeft" activeCell="E50" sqref="E50"/>
    </sheetView>
  </sheetViews>
  <sheetFormatPr baseColWidth="10" defaultColWidth="9.140625" defaultRowHeight="30" customHeight="1" x14ac:dyDescent="0.25"/>
  <cols>
    <col min="2" max="2" width="2.7109375" style="19" customWidth="1"/>
    <col min="3" max="3" width="29.7109375" customWidth="1"/>
    <col min="4" max="4" width="32.28515625" customWidth="1"/>
    <col min="5" max="5" width="10.42578125" style="5" customWidth="1"/>
    <col min="6" max="6" width="10.42578125" customWidth="1"/>
    <col min="7" max="7" width="3.140625" hidden="1" customWidth="1"/>
    <col min="8" max="8" width="6.140625" hidden="1" customWidth="1"/>
    <col min="9" max="323" width="4.28515625" customWidth="1"/>
  </cols>
  <sheetData>
    <row r="1" spans="2:358" ht="30" customHeight="1" x14ac:dyDescent="0.45">
      <c r="B1" s="20" t="s">
        <v>0</v>
      </c>
      <c r="C1" s="22" t="s">
        <v>1</v>
      </c>
      <c r="D1" s="1"/>
      <c r="E1" s="4"/>
      <c r="F1" s="18"/>
      <c r="H1" s="2"/>
      <c r="I1" s="34"/>
    </row>
    <row r="2" spans="2:358" ht="30" customHeight="1" x14ac:dyDescent="0.3">
      <c r="B2" s="19" t="s">
        <v>2</v>
      </c>
      <c r="C2" s="23" t="s">
        <v>3</v>
      </c>
      <c r="I2" s="35"/>
    </row>
    <row r="3" spans="2:358" ht="30" customHeight="1" x14ac:dyDescent="0.25">
      <c r="B3" s="19" t="s">
        <v>4</v>
      </c>
      <c r="C3" s="24"/>
      <c r="D3" s="51" t="s">
        <v>5</v>
      </c>
      <c r="E3" s="78">
        <v>45684</v>
      </c>
      <c r="F3" s="78"/>
    </row>
    <row r="4" spans="2:358" ht="30" customHeight="1" x14ac:dyDescent="0.25">
      <c r="B4" s="20" t="s">
        <v>6</v>
      </c>
      <c r="D4" s="51" t="s">
        <v>7</v>
      </c>
      <c r="E4" s="6">
        <v>1</v>
      </c>
      <c r="I4" s="75">
        <f>I5</f>
        <v>45684</v>
      </c>
      <c r="J4" s="76"/>
      <c r="K4" s="76"/>
      <c r="L4" s="76"/>
      <c r="M4" s="76"/>
      <c r="N4" s="76"/>
      <c r="O4" s="77"/>
      <c r="P4" s="75">
        <f>P5</f>
        <v>45691</v>
      </c>
      <c r="Q4" s="76"/>
      <c r="R4" s="76"/>
      <c r="S4" s="76"/>
      <c r="T4" s="76"/>
      <c r="U4" s="76"/>
      <c r="V4" s="77"/>
      <c r="W4" s="75">
        <f>W5</f>
        <v>45698</v>
      </c>
      <c r="X4" s="76"/>
      <c r="Y4" s="76"/>
      <c r="Z4" s="76"/>
      <c r="AA4" s="76"/>
      <c r="AB4" s="76"/>
      <c r="AC4" s="77"/>
      <c r="AD4" s="75">
        <f>AD5</f>
        <v>45705</v>
      </c>
      <c r="AE4" s="76"/>
      <c r="AF4" s="76"/>
      <c r="AG4" s="76"/>
      <c r="AH4" s="76"/>
      <c r="AI4" s="76"/>
      <c r="AJ4" s="77"/>
      <c r="AK4" s="75">
        <f>AK5</f>
        <v>45712</v>
      </c>
      <c r="AL4" s="76"/>
      <c r="AM4" s="76"/>
      <c r="AN4" s="76"/>
      <c r="AO4" s="76"/>
      <c r="AP4" s="76"/>
      <c r="AQ4" s="77"/>
      <c r="AR4" s="75">
        <f>AR5</f>
        <v>45719</v>
      </c>
      <c r="AS4" s="76"/>
      <c r="AT4" s="76"/>
      <c r="AU4" s="76"/>
      <c r="AV4" s="76"/>
      <c r="AW4" s="76"/>
      <c r="AX4" s="77"/>
      <c r="AY4" s="75">
        <f>AY5</f>
        <v>45726</v>
      </c>
      <c r="AZ4" s="76"/>
      <c r="BA4" s="76"/>
      <c r="BB4" s="76"/>
      <c r="BC4" s="76"/>
      <c r="BD4" s="76"/>
      <c r="BE4" s="77"/>
      <c r="BF4" s="75">
        <f>BF5</f>
        <v>45733</v>
      </c>
      <c r="BG4" s="76"/>
      <c r="BH4" s="76"/>
      <c r="BI4" s="76"/>
      <c r="BJ4" s="76"/>
      <c r="BK4" s="76"/>
      <c r="BL4" s="77"/>
      <c r="BM4" s="75">
        <f>BM5</f>
        <v>45740</v>
      </c>
      <c r="BN4" s="76"/>
      <c r="BO4" s="76"/>
      <c r="BP4" s="76"/>
      <c r="BQ4" s="76"/>
      <c r="BR4" s="76"/>
      <c r="BS4" s="77"/>
      <c r="BT4" s="75">
        <f>BT5</f>
        <v>45747</v>
      </c>
      <c r="BU4" s="76"/>
      <c r="BV4" s="76"/>
      <c r="BW4" s="76"/>
      <c r="BX4" s="76"/>
      <c r="BY4" s="76"/>
      <c r="BZ4" s="77"/>
      <c r="CA4" s="75">
        <f>CA5</f>
        <v>45754</v>
      </c>
      <c r="CB4" s="76"/>
      <c r="CC4" s="76"/>
      <c r="CD4" s="76"/>
      <c r="CE4" s="76"/>
      <c r="CF4" s="76"/>
      <c r="CG4" s="77"/>
      <c r="CH4" s="75">
        <f>CH5</f>
        <v>45761</v>
      </c>
      <c r="CI4" s="76"/>
      <c r="CJ4" s="76"/>
      <c r="CK4" s="76"/>
      <c r="CL4" s="76"/>
      <c r="CM4" s="76"/>
      <c r="CN4" s="77"/>
      <c r="CO4" s="75">
        <f>CO5</f>
        <v>45768</v>
      </c>
      <c r="CP4" s="76"/>
      <c r="CQ4" s="76"/>
      <c r="CR4" s="76"/>
      <c r="CS4" s="76"/>
      <c r="CT4" s="76"/>
      <c r="CU4" s="77"/>
      <c r="CV4" s="75">
        <f>CV5</f>
        <v>45775</v>
      </c>
      <c r="CW4" s="76"/>
      <c r="CX4" s="76"/>
      <c r="CY4" s="76"/>
      <c r="CZ4" s="76"/>
      <c r="DA4" s="76"/>
      <c r="DB4" s="77"/>
      <c r="DC4" s="75">
        <f>DC5</f>
        <v>45782</v>
      </c>
      <c r="DD4" s="76"/>
      <c r="DE4" s="76"/>
      <c r="DF4" s="76"/>
      <c r="DG4" s="76"/>
      <c r="DH4" s="76"/>
      <c r="DI4" s="77"/>
      <c r="DJ4" s="75">
        <f>DJ5</f>
        <v>45789</v>
      </c>
      <c r="DK4" s="76"/>
      <c r="DL4" s="76"/>
      <c r="DM4" s="76"/>
      <c r="DN4" s="76"/>
      <c r="DO4" s="76"/>
      <c r="DP4" s="77"/>
      <c r="DQ4" s="75">
        <f>DQ5</f>
        <v>45796</v>
      </c>
      <c r="DR4" s="76"/>
      <c r="DS4" s="76"/>
      <c r="DT4" s="76"/>
      <c r="DU4" s="76"/>
      <c r="DV4" s="76"/>
      <c r="DW4" s="77"/>
      <c r="DX4" s="75">
        <f>DX5</f>
        <v>45803</v>
      </c>
      <c r="DY4" s="76"/>
      <c r="DZ4" s="76"/>
      <c r="EA4" s="76"/>
      <c r="EB4" s="76"/>
      <c r="EC4" s="76"/>
      <c r="ED4" s="77"/>
      <c r="EE4" s="75">
        <f>EE5</f>
        <v>45810</v>
      </c>
      <c r="EF4" s="76"/>
      <c r="EG4" s="76"/>
      <c r="EH4" s="76"/>
      <c r="EI4" s="76"/>
      <c r="EJ4" s="76"/>
      <c r="EK4" s="77"/>
      <c r="EL4" s="75">
        <f>EL5</f>
        <v>45817</v>
      </c>
      <c r="EM4" s="76"/>
      <c r="EN4" s="76"/>
      <c r="EO4" s="76"/>
      <c r="EP4" s="76"/>
      <c r="EQ4" s="76"/>
      <c r="ER4" s="77"/>
      <c r="ES4" s="75">
        <f>ES5</f>
        <v>45824</v>
      </c>
      <c r="ET4" s="76"/>
      <c r="EU4" s="76"/>
      <c r="EV4" s="76"/>
      <c r="EW4" s="76"/>
      <c r="EX4" s="76"/>
      <c r="EY4" s="77"/>
      <c r="EZ4" s="75">
        <f>EZ5</f>
        <v>45831</v>
      </c>
      <c r="FA4" s="76"/>
      <c r="FB4" s="76"/>
      <c r="FC4" s="76"/>
      <c r="FD4" s="76"/>
      <c r="FE4" s="76"/>
      <c r="FF4" s="77"/>
      <c r="FG4" s="75">
        <f>FG5</f>
        <v>45838</v>
      </c>
      <c r="FH4" s="76"/>
      <c r="FI4" s="76"/>
      <c r="FJ4" s="76"/>
      <c r="FK4" s="76"/>
      <c r="FL4" s="76"/>
      <c r="FM4" s="77"/>
      <c r="FN4" s="75">
        <f>FN5</f>
        <v>45845</v>
      </c>
      <c r="FO4" s="76"/>
      <c r="FP4" s="76"/>
      <c r="FQ4" s="76"/>
      <c r="FR4" s="76"/>
      <c r="FS4" s="76"/>
      <c r="FT4" s="77"/>
      <c r="FU4" s="75">
        <f>FU5</f>
        <v>45852</v>
      </c>
      <c r="FV4" s="76"/>
      <c r="FW4" s="76"/>
      <c r="FX4" s="76"/>
      <c r="FY4" s="76"/>
      <c r="FZ4" s="76"/>
      <c r="GA4" s="77"/>
      <c r="GB4" s="75">
        <f>GB5</f>
        <v>45859</v>
      </c>
      <c r="GC4" s="76"/>
      <c r="GD4" s="76"/>
      <c r="GE4" s="76"/>
      <c r="GF4" s="76"/>
      <c r="GG4" s="76"/>
      <c r="GH4" s="77"/>
      <c r="GI4" s="75">
        <f>GI5</f>
        <v>45866</v>
      </c>
      <c r="GJ4" s="76"/>
      <c r="GK4" s="76"/>
      <c r="GL4" s="76"/>
      <c r="GM4" s="76"/>
      <c r="GN4" s="76"/>
      <c r="GO4" s="77"/>
      <c r="GP4" s="75">
        <f>GP5</f>
        <v>45873</v>
      </c>
      <c r="GQ4" s="76"/>
      <c r="GR4" s="76"/>
      <c r="GS4" s="76"/>
      <c r="GT4" s="76"/>
      <c r="GU4" s="76"/>
      <c r="GV4" s="77"/>
      <c r="GW4" s="75">
        <f>GW5</f>
        <v>45880</v>
      </c>
      <c r="GX4" s="76"/>
      <c r="GY4" s="76"/>
      <c r="GZ4" s="76"/>
      <c r="HA4" s="76"/>
      <c r="HB4" s="76"/>
      <c r="HC4" s="77"/>
      <c r="HD4" s="75">
        <f>HD5</f>
        <v>45887</v>
      </c>
      <c r="HE4" s="76"/>
      <c r="HF4" s="76"/>
      <c r="HG4" s="76"/>
      <c r="HH4" s="76"/>
      <c r="HI4" s="76"/>
      <c r="HJ4" s="77"/>
      <c r="HK4" s="75">
        <f>HK5</f>
        <v>45894</v>
      </c>
      <c r="HL4" s="76"/>
      <c r="HM4" s="76"/>
      <c r="HN4" s="76"/>
      <c r="HO4" s="76"/>
      <c r="HP4" s="76"/>
      <c r="HQ4" s="77"/>
      <c r="HR4" s="75">
        <f>HR5</f>
        <v>45901</v>
      </c>
      <c r="HS4" s="76"/>
      <c r="HT4" s="76"/>
      <c r="HU4" s="76"/>
      <c r="HV4" s="76"/>
      <c r="HW4" s="76"/>
      <c r="HX4" s="77"/>
      <c r="HY4" s="75">
        <f>HY5</f>
        <v>45908</v>
      </c>
      <c r="HZ4" s="76"/>
      <c r="IA4" s="76"/>
      <c r="IB4" s="76"/>
      <c r="IC4" s="76"/>
      <c r="ID4" s="76"/>
      <c r="IE4" s="77"/>
      <c r="IF4" s="75">
        <f>IF5</f>
        <v>45915</v>
      </c>
      <c r="IG4" s="76"/>
      <c r="IH4" s="76"/>
      <c r="II4" s="76"/>
      <c r="IJ4" s="76"/>
      <c r="IK4" s="76"/>
      <c r="IL4" s="77"/>
      <c r="IM4" s="75">
        <f>IM5</f>
        <v>45922</v>
      </c>
      <c r="IN4" s="76"/>
      <c r="IO4" s="76"/>
      <c r="IP4" s="76"/>
      <c r="IQ4" s="76"/>
      <c r="IR4" s="76"/>
      <c r="IS4" s="77"/>
      <c r="IT4" s="75">
        <f>IT5</f>
        <v>45929</v>
      </c>
      <c r="IU4" s="76"/>
      <c r="IV4" s="76"/>
      <c r="IW4" s="76"/>
      <c r="IX4" s="76"/>
      <c r="IY4" s="76"/>
      <c r="IZ4" s="77"/>
      <c r="JA4" s="75">
        <f>JA5</f>
        <v>45936</v>
      </c>
      <c r="JB4" s="76"/>
      <c r="JC4" s="76"/>
      <c r="JD4" s="76"/>
      <c r="JE4" s="76"/>
      <c r="JF4" s="76"/>
      <c r="JG4" s="77"/>
      <c r="JH4" s="75">
        <f>JH5</f>
        <v>45943</v>
      </c>
      <c r="JI4" s="76"/>
      <c r="JJ4" s="76"/>
      <c r="JK4" s="76"/>
      <c r="JL4" s="76"/>
      <c r="JM4" s="76"/>
      <c r="JN4" s="77"/>
      <c r="JO4" s="75">
        <f>JO5</f>
        <v>45950</v>
      </c>
      <c r="JP4" s="76"/>
      <c r="JQ4" s="76"/>
      <c r="JR4" s="76"/>
      <c r="JS4" s="76"/>
      <c r="JT4" s="76"/>
      <c r="JU4" s="77"/>
      <c r="JV4" s="75">
        <f>JV5</f>
        <v>45957</v>
      </c>
      <c r="JW4" s="76"/>
      <c r="JX4" s="76"/>
      <c r="JY4" s="76"/>
      <c r="JZ4" s="76"/>
      <c r="KA4" s="76"/>
      <c r="KB4" s="77"/>
      <c r="KC4" s="75">
        <f>KC5</f>
        <v>45964</v>
      </c>
      <c r="KD4" s="76"/>
      <c r="KE4" s="76"/>
      <c r="KF4" s="76"/>
      <c r="KG4" s="76"/>
      <c r="KH4" s="76"/>
      <c r="KI4" s="77"/>
      <c r="KJ4" s="75">
        <f>KJ5</f>
        <v>45971</v>
      </c>
      <c r="KK4" s="76"/>
      <c r="KL4" s="76"/>
      <c r="KM4" s="76"/>
      <c r="KN4" s="76"/>
      <c r="KO4" s="76"/>
      <c r="KP4" s="77"/>
      <c r="KQ4" s="75">
        <f>KQ5</f>
        <v>45978</v>
      </c>
      <c r="KR4" s="76"/>
      <c r="KS4" s="76"/>
      <c r="KT4" s="76"/>
      <c r="KU4" s="76"/>
      <c r="KV4" s="76"/>
      <c r="KW4" s="77"/>
      <c r="KX4" s="75">
        <f>KX5</f>
        <v>45985</v>
      </c>
      <c r="KY4" s="76"/>
      <c r="KZ4" s="76"/>
      <c r="LA4" s="76"/>
      <c r="LB4" s="76"/>
      <c r="LC4" s="76"/>
      <c r="LD4" s="77"/>
      <c r="LE4" s="75">
        <f>LE5</f>
        <v>45992</v>
      </c>
      <c r="LF4" s="76"/>
      <c r="LG4" s="76"/>
      <c r="LH4" s="76"/>
      <c r="LI4" s="76"/>
      <c r="LJ4" s="76"/>
      <c r="LK4" s="76"/>
      <c r="LL4" s="79"/>
      <c r="LM4" s="79"/>
      <c r="LN4" s="79"/>
      <c r="LO4" s="79"/>
      <c r="LP4" s="79"/>
      <c r="LQ4" s="79"/>
      <c r="LR4" s="79"/>
      <c r="LS4" s="79"/>
      <c r="LT4" s="79"/>
      <c r="LU4" s="79"/>
      <c r="LV4" s="79"/>
      <c r="LW4" s="79"/>
      <c r="LX4" s="79"/>
      <c r="LY4" s="79"/>
      <c r="LZ4" s="79"/>
      <c r="MA4" s="79"/>
      <c r="MB4" s="79"/>
      <c r="MC4" s="79"/>
      <c r="MD4" s="79"/>
      <c r="ME4" s="79"/>
      <c r="MF4" s="79"/>
      <c r="MG4" s="79"/>
      <c r="MH4" s="79"/>
      <c r="MI4" s="79"/>
      <c r="MJ4" s="79"/>
      <c r="MK4" s="79"/>
      <c r="ML4" s="79"/>
      <c r="MM4" s="79"/>
      <c r="MN4" s="79"/>
      <c r="MO4" s="79"/>
      <c r="MP4" s="79"/>
      <c r="MQ4" s="79"/>
      <c r="MR4" s="79"/>
      <c r="MS4" s="79"/>
      <c r="MT4" s="79"/>
    </row>
    <row r="5" spans="2:358" ht="15" customHeight="1" x14ac:dyDescent="0.25">
      <c r="B5" s="20" t="s">
        <v>8</v>
      </c>
      <c r="C5" s="33"/>
      <c r="D5" s="33"/>
      <c r="E5" s="33"/>
      <c r="F5" s="33"/>
      <c r="G5" s="33"/>
      <c r="I5" s="48">
        <f>Inicio_del_proyecto-WEEKDAY(Inicio_del_proyecto,1)+2+7*(Semana_para_mostrar-1)</f>
        <v>45684</v>
      </c>
      <c r="J5" s="49">
        <f>I5+1</f>
        <v>45685</v>
      </c>
      <c r="K5" s="49">
        <f t="shared" ref="K5:AX5" si="0">J5+1</f>
        <v>45686</v>
      </c>
      <c r="L5" s="49">
        <f t="shared" si="0"/>
        <v>45687</v>
      </c>
      <c r="M5" s="49">
        <f t="shared" si="0"/>
        <v>45688</v>
      </c>
      <c r="N5" s="49">
        <f t="shared" si="0"/>
        <v>45689</v>
      </c>
      <c r="O5" s="50">
        <f t="shared" si="0"/>
        <v>45690</v>
      </c>
      <c r="P5" s="48">
        <f>O5+1</f>
        <v>45691</v>
      </c>
      <c r="Q5" s="49">
        <f>P5+1</f>
        <v>45692</v>
      </c>
      <c r="R5" s="49">
        <f t="shared" si="0"/>
        <v>45693</v>
      </c>
      <c r="S5" s="49">
        <f t="shared" si="0"/>
        <v>45694</v>
      </c>
      <c r="T5" s="49">
        <f t="shared" si="0"/>
        <v>45695</v>
      </c>
      <c r="U5" s="49">
        <f t="shared" si="0"/>
        <v>45696</v>
      </c>
      <c r="V5" s="50">
        <f t="shared" si="0"/>
        <v>45697</v>
      </c>
      <c r="W5" s="48">
        <f>V5+1</f>
        <v>45698</v>
      </c>
      <c r="X5" s="49">
        <f>W5+1</f>
        <v>45699</v>
      </c>
      <c r="Y5" s="49">
        <f t="shared" si="0"/>
        <v>45700</v>
      </c>
      <c r="Z5" s="49">
        <f t="shared" si="0"/>
        <v>45701</v>
      </c>
      <c r="AA5" s="49">
        <f t="shared" si="0"/>
        <v>45702</v>
      </c>
      <c r="AB5" s="49">
        <f t="shared" si="0"/>
        <v>45703</v>
      </c>
      <c r="AC5" s="50">
        <f t="shared" si="0"/>
        <v>45704</v>
      </c>
      <c r="AD5" s="48">
        <f>AC5+1</f>
        <v>45705</v>
      </c>
      <c r="AE5" s="49">
        <f>AD5+1</f>
        <v>45706</v>
      </c>
      <c r="AF5" s="49">
        <f t="shared" si="0"/>
        <v>45707</v>
      </c>
      <c r="AG5" s="49">
        <f t="shared" si="0"/>
        <v>45708</v>
      </c>
      <c r="AH5" s="49">
        <f t="shared" si="0"/>
        <v>45709</v>
      </c>
      <c r="AI5" s="49">
        <f t="shared" si="0"/>
        <v>45710</v>
      </c>
      <c r="AJ5" s="50">
        <f t="shared" si="0"/>
        <v>45711</v>
      </c>
      <c r="AK5" s="48">
        <f>AJ5+1</f>
        <v>45712</v>
      </c>
      <c r="AL5" s="49">
        <f>AK5+1</f>
        <v>45713</v>
      </c>
      <c r="AM5" s="49">
        <f t="shared" si="0"/>
        <v>45714</v>
      </c>
      <c r="AN5" s="49">
        <f t="shared" si="0"/>
        <v>45715</v>
      </c>
      <c r="AO5" s="49">
        <f t="shared" si="0"/>
        <v>45716</v>
      </c>
      <c r="AP5" s="49">
        <f t="shared" si="0"/>
        <v>45717</v>
      </c>
      <c r="AQ5" s="50">
        <f t="shared" si="0"/>
        <v>45718</v>
      </c>
      <c r="AR5" s="48">
        <f>AQ5+1</f>
        <v>45719</v>
      </c>
      <c r="AS5" s="49">
        <f>AR5+1</f>
        <v>45720</v>
      </c>
      <c r="AT5" s="49">
        <f t="shared" si="0"/>
        <v>45721</v>
      </c>
      <c r="AU5" s="49">
        <f t="shared" si="0"/>
        <v>45722</v>
      </c>
      <c r="AV5" s="49">
        <f t="shared" si="0"/>
        <v>45723</v>
      </c>
      <c r="AW5" s="49">
        <f t="shared" si="0"/>
        <v>45724</v>
      </c>
      <c r="AX5" s="50">
        <f t="shared" si="0"/>
        <v>45725</v>
      </c>
      <c r="AY5" s="48">
        <f>AX5+1</f>
        <v>45726</v>
      </c>
      <c r="AZ5" s="49">
        <f>AY5+1</f>
        <v>45727</v>
      </c>
      <c r="BA5" s="49">
        <f t="shared" ref="BA5:BE5" si="1">AZ5+1</f>
        <v>45728</v>
      </c>
      <c r="BB5" s="49">
        <f t="shared" si="1"/>
        <v>45729</v>
      </c>
      <c r="BC5" s="49">
        <f t="shared" si="1"/>
        <v>45730</v>
      </c>
      <c r="BD5" s="49">
        <f t="shared" si="1"/>
        <v>45731</v>
      </c>
      <c r="BE5" s="50">
        <f t="shared" si="1"/>
        <v>45732</v>
      </c>
      <c r="BF5" s="48">
        <f>BE5+1</f>
        <v>45733</v>
      </c>
      <c r="BG5" s="49">
        <f>BF5+1</f>
        <v>45734</v>
      </c>
      <c r="BH5" s="49">
        <f t="shared" ref="BH5:BL5" si="2">BG5+1</f>
        <v>45735</v>
      </c>
      <c r="BI5" s="49">
        <f t="shared" si="2"/>
        <v>45736</v>
      </c>
      <c r="BJ5" s="49">
        <f t="shared" si="2"/>
        <v>45737</v>
      </c>
      <c r="BK5" s="49">
        <f t="shared" si="2"/>
        <v>45738</v>
      </c>
      <c r="BL5" s="50">
        <f t="shared" si="2"/>
        <v>45739</v>
      </c>
      <c r="BM5" s="48">
        <f>BL5+1</f>
        <v>45740</v>
      </c>
      <c r="BN5" s="49">
        <f>BM5+1</f>
        <v>45741</v>
      </c>
      <c r="BO5" s="49">
        <f t="shared" ref="BO5" si="3">BN5+1</f>
        <v>45742</v>
      </c>
      <c r="BP5" s="49">
        <f t="shared" ref="BP5" si="4">BO5+1</f>
        <v>45743</v>
      </c>
      <c r="BQ5" s="49">
        <f t="shared" ref="BQ5" si="5">BP5+1</f>
        <v>45744</v>
      </c>
      <c r="BR5" s="49">
        <f t="shared" ref="BR5" si="6">BQ5+1</f>
        <v>45745</v>
      </c>
      <c r="BS5" s="50">
        <f t="shared" ref="BS5" si="7">BR5+1</f>
        <v>45746</v>
      </c>
      <c r="BT5" s="48">
        <f>BS5+1</f>
        <v>45747</v>
      </c>
      <c r="BU5" s="49">
        <f>BT5+1</f>
        <v>45748</v>
      </c>
      <c r="BV5" s="49">
        <f t="shared" ref="BV5" si="8">BU5+1</f>
        <v>45749</v>
      </c>
      <c r="BW5" s="49">
        <f t="shared" ref="BW5" si="9">BV5+1</f>
        <v>45750</v>
      </c>
      <c r="BX5" s="49">
        <f t="shared" ref="BX5" si="10">BW5+1</f>
        <v>45751</v>
      </c>
      <c r="BY5" s="49">
        <f t="shared" ref="BY5" si="11">BX5+1</f>
        <v>45752</v>
      </c>
      <c r="BZ5" s="50">
        <f t="shared" ref="BZ5" si="12">BY5+1</f>
        <v>45753</v>
      </c>
      <c r="CA5" s="48">
        <f>BZ5+1</f>
        <v>45754</v>
      </c>
      <c r="CB5" s="49">
        <f>CA5+1</f>
        <v>45755</v>
      </c>
      <c r="CC5" s="49">
        <f t="shared" ref="CC5" si="13">CB5+1</f>
        <v>45756</v>
      </c>
      <c r="CD5" s="49">
        <f t="shared" ref="CD5" si="14">CC5+1</f>
        <v>45757</v>
      </c>
      <c r="CE5" s="49">
        <f t="shared" ref="CE5" si="15">CD5+1</f>
        <v>45758</v>
      </c>
      <c r="CF5" s="49">
        <f t="shared" ref="CF5" si="16">CE5+1</f>
        <v>45759</v>
      </c>
      <c r="CG5" s="50">
        <f t="shared" ref="CG5" si="17">CF5+1</f>
        <v>45760</v>
      </c>
      <c r="CH5" s="48">
        <f>CG5+1</f>
        <v>45761</v>
      </c>
      <c r="CI5" s="49">
        <f>CH5+1</f>
        <v>45762</v>
      </c>
      <c r="CJ5" s="49">
        <f t="shared" ref="CJ5" si="18">CI5+1</f>
        <v>45763</v>
      </c>
      <c r="CK5" s="49">
        <f t="shared" ref="CK5" si="19">CJ5+1</f>
        <v>45764</v>
      </c>
      <c r="CL5" s="49">
        <f t="shared" ref="CL5" si="20">CK5+1</f>
        <v>45765</v>
      </c>
      <c r="CM5" s="49">
        <f t="shared" ref="CM5" si="21">CL5+1</f>
        <v>45766</v>
      </c>
      <c r="CN5" s="50">
        <f t="shared" ref="CN5" si="22">CM5+1</f>
        <v>45767</v>
      </c>
      <c r="CO5" s="48">
        <f>CN5+1</f>
        <v>45768</v>
      </c>
      <c r="CP5" s="49">
        <f>CO5+1</f>
        <v>45769</v>
      </c>
      <c r="CQ5" s="49">
        <f t="shared" ref="CQ5" si="23">CP5+1</f>
        <v>45770</v>
      </c>
      <c r="CR5" s="49">
        <f t="shared" ref="CR5" si="24">CQ5+1</f>
        <v>45771</v>
      </c>
      <c r="CS5" s="49">
        <f t="shared" ref="CS5" si="25">CR5+1</f>
        <v>45772</v>
      </c>
      <c r="CT5" s="49">
        <f t="shared" ref="CT5" si="26">CS5+1</f>
        <v>45773</v>
      </c>
      <c r="CU5" s="50">
        <f t="shared" ref="CU5" si="27">CT5+1</f>
        <v>45774</v>
      </c>
      <c r="CV5" s="48">
        <f>CU5+1</f>
        <v>45775</v>
      </c>
      <c r="CW5" s="49">
        <f>CV5+1</f>
        <v>45776</v>
      </c>
      <c r="CX5" s="49">
        <f t="shared" ref="CX5" si="28">CW5+1</f>
        <v>45777</v>
      </c>
      <c r="CY5" s="49">
        <f t="shared" ref="CY5" si="29">CX5+1</f>
        <v>45778</v>
      </c>
      <c r="CZ5" s="49">
        <f t="shared" ref="CZ5" si="30">CY5+1</f>
        <v>45779</v>
      </c>
      <c r="DA5" s="49">
        <f t="shared" ref="DA5" si="31">CZ5+1</f>
        <v>45780</v>
      </c>
      <c r="DB5" s="50">
        <f t="shared" ref="DB5" si="32">DA5+1</f>
        <v>45781</v>
      </c>
      <c r="DC5" s="48">
        <f>DB5+1</f>
        <v>45782</v>
      </c>
      <c r="DD5" s="49">
        <f>DC5+1</f>
        <v>45783</v>
      </c>
      <c r="DE5" s="49">
        <f t="shared" ref="DE5" si="33">DD5+1</f>
        <v>45784</v>
      </c>
      <c r="DF5" s="49">
        <f t="shared" ref="DF5" si="34">DE5+1</f>
        <v>45785</v>
      </c>
      <c r="DG5" s="49">
        <f t="shared" ref="DG5" si="35">DF5+1</f>
        <v>45786</v>
      </c>
      <c r="DH5" s="49">
        <f t="shared" ref="DH5" si="36">DG5+1</f>
        <v>45787</v>
      </c>
      <c r="DI5" s="50">
        <f t="shared" ref="DI5" si="37">DH5+1</f>
        <v>45788</v>
      </c>
      <c r="DJ5" s="48">
        <f>DI5+1</f>
        <v>45789</v>
      </c>
      <c r="DK5" s="49">
        <f>DJ5+1</f>
        <v>45790</v>
      </c>
      <c r="DL5" s="49">
        <f t="shared" ref="DL5" si="38">DK5+1</f>
        <v>45791</v>
      </c>
      <c r="DM5" s="49">
        <f t="shared" ref="DM5" si="39">DL5+1</f>
        <v>45792</v>
      </c>
      <c r="DN5" s="49">
        <f t="shared" ref="DN5" si="40">DM5+1</f>
        <v>45793</v>
      </c>
      <c r="DO5" s="49">
        <f t="shared" ref="DO5" si="41">DN5+1</f>
        <v>45794</v>
      </c>
      <c r="DP5" s="50">
        <f t="shared" ref="DP5" si="42">DO5+1</f>
        <v>45795</v>
      </c>
      <c r="DQ5" s="48">
        <f>DP5+1</f>
        <v>45796</v>
      </c>
      <c r="DR5" s="49">
        <f>DQ5+1</f>
        <v>45797</v>
      </c>
      <c r="DS5" s="49">
        <f t="shared" ref="DS5" si="43">DR5+1</f>
        <v>45798</v>
      </c>
      <c r="DT5" s="49">
        <f t="shared" ref="DT5" si="44">DS5+1</f>
        <v>45799</v>
      </c>
      <c r="DU5" s="49">
        <f t="shared" ref="DU5" si="45">DT5+1</f>
        <v>45800</v>
      </c>
      <c r="DV5" s="49">
        <f t="shared" ref="DV5" si="46">DU5+1</f>
        <v>45801</v>
      </c>
      <c r="DW5" s="50">
        <f t="shared" ref="DW5" si="47">DV5+1</f>
        <v>45802</v>
      </c>
      <c r="DX5" s="48">
        <f>DW5+1</f>
        <v>45803</v>
      </c>
      <c r="DY5" s="49">
        <f>DX5+1</f>
        <v>45804</v>
      </c>
      <c r="DZ5" s="49">
        <f t="shared" ref="DZ5" si="48">DY5+1</f>
        <v>45805</v>
      </c>
      <c r="EA5" s="49">
        <f t="shared" ref="EA5" si="49">DZ5+1</f>
        <v>45806</v>
      </c>
      <c r="EB5" s="49">
        <f t="shared" ref="EB5" si="50">EA5+1</f>
        <v>45807</v>
      </c>
      <c r="EC5" s="49">
        <f t="shared" ref="EC5" si="51">EB5+1</f>
        <v>45808</v>
      </c>
      <c r="ED5" s="50">
        <f t="shared" ref="ED5" si="52">EC5+1</f>
        <v>45809</v>
      </c>
      <c r="EE5" s="48">
        <f>ED5+1</f>
        <v>45810</v>
      </c>
      <c r="EF5" s="49">
        <f>EE5+1</f>
        <v>45811</v>
      </c>
      <c r="EG5" s="49">
        <f t="shared" ref="EG5" si="53">EF5+1</f>
        <v>45812</v>
      </c>
      <c r="EH5" s="49">
        <f t="shared" ref="EH5" si="54">EG5+1</f>
        <v>45813</v>
      </c>
      <c r="EI5" s="49">
        <f t="shared" ref="EI5" si="55">EH5+1</f>
        <v>45814</v>
      </c>
      <c r="EJ5" s="49">
        <f t="shared" ref="EJ5" si="56">EI5+1</f>
        <v>45815</v>
      </c>
      <c r="EK5" s="50">
        <f t="shared" ref="EK5" si="57">EJ5+1</f>
        <v>45816</v>
      </c>
      <c r="EL5" s="48">
        <f>EK5+1</f>
        <v>45817</v>
      </c>
      <c r="EM5" s="49">
        <f>EL5+1</f>
        <v>45818</v>
      </c>
      <c r="EN5" s="49">
        <f t="shared" ref="EN5" si="58">EM5+1</f>
        <v>45819</v>
      </c>
      <c r="EO5" s="49">
        <f t="shared" ref="EO5" si="59">EN5+1</f>
        <v>45820</v>
      </c>
      <c r="EP5" s="49">
        <f t="shared" ref="EP5" si="60">EO5+1</f>
        <v>45821</v>
      </c>
      <c r="EQ5" s="49">
        <f t="shared" ref="EQ5" si="61">EP5+1</f>
        <v>45822</v>
      </c>
      <c r="ER5" s="50">
        <f t="shared" ref="ER5" si="62">EQ5+1</f>
        <v>45823</v>
      </c>
      <c r="ES5" s="48">
        <f>ER5+1</f>
        <v>45824</v>
      </c>
      <c r="ET5" s="49">
        <f>ES5+1</f>
        <v>45825</v>
      </c>
      <c r="EU5" s="49">
        <f t="shared" ref="EU5" si="63">ET5+1</f>
        <v>45826</v>
      </c>
      <c r="EV5" s="49">
        <f t="shared" ref="EV5" si="64">EU5+1</f>
        <v>45827</v>
      </c>
      <c r="EW5" s="49">
        <f t="shared" ref="EW5" si="65">EV5+1</f>
        <v>45828</v>
      </c>
      <c r="EX5" s="49">
        <f t="shared" ref="EX5" si="66">EW5+1</f>
        <v>45829</v>
      </c>
      <c r="EY5" s="50">
        <f t="shared" ref="EY5" si="67">EX5+1</f>
        <v>45830</v>
      </c>
      <c r="EZ5" s="48">
        <f>EY5+1</f>
        <v>45831</v>
      </c>
      <c r="FA5" s="49">
        <f>EZ5+1</f>
        <v>45832</v>
      </c>
      <c r="FB5" s="49">
        <f t="shared" ref="FB5" si="68">FA5+1</f>
        <v>45833</v>
      </c>
      <c r="FC5" s="49">
        <f t="shared" ref="FC5" si="69">FB5+1</f>
        <v>45834</v>
      </c>
      <c r="FD5" s="49">
        <f t="shared" ref="FD5" si="70">FC5+1</f>
        <v>45835</v>
      </c>
      <c r="FE5" s="49">
        <f t="shared" ref="FE5" si="71">FD5+1</f>
        <v>45836</v>
      </c>
      <c r="FF5" s="50">
        <f t="shared" ref="FF5" si="72">FE5+1</f>
        <v>45837</v>
      </c>
      <c r="FG5" s="48">
        <f>FF5+1</f>
        <v>45838</v>
      </c>
      <c r="FH5" s="49">
        <f>FG5+1</f>
        <v>45839</v>
      </c>
      <c r="FI5" s="49">
        <f t="shared" ref="FI5" si="73">FH5+1</f>
        <v>45840</v>
      </c>
      <c r="FJ5" s="49">
        <f t="shared" ref="FJ5" si="74">FI5+1</f>
        <v>45841</v>
      </c>
      <c r="FK5" s="49">
        <f t="shared" ref="FK5" si="75">FJ5+1</f>
        <v>45842</v>
      </c>
      <c r="FL5" s="49">
        <f t="shared" ref="FL5" si="76">FK5+1</f>
        <v>45843</v>
      </c>
      <c r="FM5" s="50">
        <f t="shared" ref="FM5" si="77">FL5+1</f>
        <v>45844</v>
      </c>
      <c r="FN5" s="48">
        <f>FM5+1</f>
        <v>45845</v>
      </c>
      <c r="FO5" s="49">
        <f>FN5+1</f>
        <v>45846</v>
      </c>
      <c r="FP5" s="49">
        <f t="shared" ref="FP5" si="78">FO5+1</f>
        <v>45847</v>
      </c>
      <c r="FQ5" s="49">
        <f t="shared" ref="FQ5" si="79">FP5+1</f>
        <v>45848</v>
      </c>
      <c r="FR5" s="49">
        <f t="shared" ref="FR5" si="80">FQ5+1</f>
        <v>45849</v>
      </c>
      <c r="FS5" s="49">
        <f t="shared" ref="FS5" si="81">FR5+1</f>
        <v>45850</v>
      </c>
      <c r="FT5" s="50">
        <f t="shared" ref="FT5" si="82">FS5+1</f>
        <v>45851</v>
      </c>
      <c r="FU5" s="48">
        <f>FT5+1</f>
        <v>45852</v>
      </c>
      <c r="FV5" s="49">
        <f>FU5+1</f>
        <v>45853</v>
      </c>
      <c r="FW5" s="49">
        <f t="shared" ref="FW5" si="83">FV5+1</f>
        <v>45854</v>
      </c>
      <c r="FX5" s="49">
        <f t="shared" ref="FX5" si="84">FW5+1</f>
        <v>45855</v>
      </c>
      <c r="FY5" s="49">
        <f t="shared" ref="FY5" si="85">FX5+1</f>
        <v>45856</v>
      </c>
      <c r="FZ5" s="49">
        <f t="shared" ref="FZ5" si="86">FY5+1</f>
        <v>45857</v>
      </c>
      <c r="GA5" s="50">
        <f t="shared" ref="GA5" si="87">FZ5+1</f>
        <v>45858</v>
      </c>
      <c r="GB5" s="48">
        <f>GA5+1</f>
        <v>45859</v>
      </c>
      <c r="GC5" s="49">
        <f>GB5+1</f>
        <v>45860</v>
      </c>
      <c r="GD5" s="49">
        <f t="shared" ref="GD5" si="88">GC5+1</f>
        <v>45861</v>
      </c>
      <c r="GE5" s="49">
        <f t="shared" ref="GE5" si="89">GD5+1</f>
        <v>45862</v>
      </c>
      <c r="GF5" s="49">
        <f t="shared" ref="GF5" si="90">GE5+1</f>
        <v>45863</v>
      </c>
      <c r="GG5" s="49">
        <f t="shared" ref="GG5" si="91">GF5+1</f>
        <v>45864</v>
      </c>
      <c r="GH5" s="50">
        <f t="shared" ref="GH5" si="92">GG5+1</f>
        <v>45865</v>
      </c>
      <c r="GI5" s="48">
        <f>GH5+1</f>
        <v>45866</v>
      </c>
      <c r="GJ5" s="49">
        <f>GI5+1</f>
        <v>45867</v>
      </c>
      <c r="GK5" s="49">
        <f t="shared" ref="GK5" si="93">GJ5+1</f>
        <v>45868</v>
      </c>
      <c r="GL5" s="49">
        <f t="shared" ref="GL5" si="94">GK5+1</f>
        <v>45869</v>
      </c>
      <c r="GM5" s="49">
        <f t="shared" ref="GM5" si="95">GL5+1</f>
        <v>45870</v>
      </c>
      <c r="GN5" s="49">
        <f t="shared" ref="GN5" si="96">GM5+1</f>
        <v>45871</v>
      </c>
      <c r="GO5" s="50">
        <f t="shared" ref="GO5" si="97">GN5+1</f>
        <v>45872</v>
      </c>
      <c r="GP5" s="48">
        <f>GO5+1</f>
        <v>45873</v>
      </c>
      <c r="GQ5" s="49">
        <f>GP5+1</f>
        <v>45874</v>
      </c>
      <c r="GR5" s="49">
        <f t="shared" ref="GR5" si="98">GQ5+1</f>
        <v>45875</v>
      </c>
      <c r="GS5" s="49">
        <f t="shared" ref="GS5" si="99">GR5+1</f>
        <v>45876</v>
      </c>
      <c r="GT5" s="49">
        <f t="shared" ref="GT5" si="100">GS5+1</f>
        <v>45877</v>
      </c>
      <c r="GU5" s="49">
        <f t="shared" ref="GU5" si="101">GT5+1</f>
        <v>45878</v>
      </c>
      <c r="GV5" s="50">
        <f t="shared" ref="GV5" si="102">GU5+1</f>
        <v>45879</v>
      </c>
      <c r="GW5" s="48">
        <f>GV5+1</f>
        <v>45880</v>
      </c>
      <c r="GX5" s="49">
        <f>GW5+1</f>
        <v>45881</v>
      </c>
      <c r="GY5" s="49">
        <f t="shared" ref="GY5" si="103">GX5+1</f>
        <v>45882</v>
      </c>
      <c r="GZ5" s="49">
        <f t="shared" ref="GZ5" si="104">GY5+1</f>
        <v>45883</v>
      </c>
      <c r="HA5" s="49">
        <f t="shared" ref="HA5" si="105">GZ5+1</f>
        <v>45884</v>
      </c>
      <c r="HB5" s="49">
        <f t="shared" ref="HB5" si="106">HA5+1</f>
        <v>45885</v>
      </c>
      <c r="HC5" s="50">
        <f t="shared" ref="HC5" si="107">HB5+1</f>
        <v>45886</v>
      </c>
      <c r="HD5" s="48">
        <f>HC5+1</f>
        <v>45887</v>
      </c>
      <c r="HE5" s="49">
        <f>HD5+1</f>
        <v>45888</v>
      </c>
      <c r="HF5" s="49">
        <f t="shared" ref="HF5" si="108">HE5+1</f>
        <v>45889</v>
      </c>
      <c r="HG5" s="49">
        <f t="shared" ref="HG5" si="109">HF5+1</f>
        <v>45890</v>
      </c>
      <c r="HH5" s="49">
        <f t="shared" ref="HH5" si="110">HG5+1</f>
        <v>45891</v>
      </c>
      <c r="HI5" s="49">
        <f t="shared" ref="HI5" si="111">HH5+1</f>
        <v>45892</v>
      </c>
      <c r="HJ5" s="50">
        <f t="shared" ref="HJ5" si="112">HI5+1</f>
        <v>45893</v>
      </c>
      <c r="HK5" s="48">
        <f>HJ5+1</f>
        <v>45894</v>
      </c>
      <c r="HL5" s="49">
        <f>HK5+1</f>
        <v>45895</v>
      </c>
      <c r="HM5" s="49">
        <f t="shared" ref="HM5" si="113">HL5+1</f>
        <v>45896</v>
      </c>
      <c r="HN5" s="49">
        <f t="shared" ref="HN5" si="114">HM5+1</f>
        <v>45897</v>
      </c>
      <c r="HO5" s="49">
        <f t="shared" ref="HO5" si="115">HN5+1</f>
        <v>45898</v>
      </c>
      <c r="HP5" s="49">
        <f t="shared" ref="HP5" si="116">HO5+1</f>
        <v>45899</v>
      </c>
      <c r="HQ5" s="50">
        <f t="shared" ref="HQ5" si="117">HP5+1</f>
        <v>45900</v>
      </c>
      <c r="HR5" s="48">
        <f>HQ5+1</f>
        <v>45901</v>
      </c>
      <c r="HS5" s="49">
        <f>HR5+1</f>
        <v>45902</v>
      </c>
      <c r="HT5" s="49">
        <f t="shared" ref="HT5" si="118">HS5+1</f>
        <v>45903</v>
      </c>
      <c r="HU5" s="49">
        <f t="shared" ref="HU5" si="119">HT5+1</f>
        <v>45904</v>
      </c>
      <c r="HV5" s="49">
        <f t="shared" ref="HV5" si="120">HU5+1</f>
        <v>45905</v>
      </c>
      <c r="HW5" s="49">
        <f t="shared" ref="HW5" si="121">HV5+1</f>
        <v>45906</v>
      </c>
      <c r="HX5" s="50">
        <f t="shared" ref="HX5" si="122">HW5+1</f>
        <v>45907</v>
      </c>
      <c r="HY5" s="48">
        <f>HX5+1</f>
        <v>45908</v>
      </c>
      <c r="HZ5" s="49">
        <f>HY5+1</f>
        <v>45909</v>
      </c>
      <c r="IA5" s="49">
        <f t="shared" ref="IA5" si="123">HZ5+1</f>
        <v>45910</v>
      </c>
      <c r="IB5" s="49">
        <f t="shared" ref="IB5" si="124">IA5+1</f>
        <v>45911</v>
      </c>
      <c r="IC5" s="49">
        <f t="shared" ref="IC5" si="125">IB5+1</f>
        <v>45912</v>
      </c>
      <c r="ID5" s="49">
        <f t="shared" ref="ID5" si="126">IC5+1</f>
        <v>45913</v>
      </c>
      <c r="IE5" s="50">
        <f t="shared" ref="IE5" si="127">ID5+1</f>
        <v>45914</v>
      </c>
      <c r="IF5" s="48">
        <f>IE5+1</f>
        <v>45915</v>
      </c>
      <c r="IG5" s="49">
        <f>IF5+1</f>
        <v>45916</v>
      </c>
      <c r="IH5" s="49">
        <f t="shared" ref="IH5" si="128">IG5+1</f>
        <v>45917</v>
      </c>
      <c r="II5" s="49">
        <f t="shared" ref="II5" si="129">IH5+1</f>
        <v>45918</v>
      </c>
      <c r="IJ5" s="49">
        <f t="shared" ref="IJ5" si="130">II5+1</f>
        <v>45919</v>
      </c>
      <c r="IK5" s="49">
        <f t="shared" ref="IK5" si="131">IJ5+1</f>
        <v>45920</v>
      </c>
      <c r="IL5" s="50">
        <f t="shared" ref="IL5" si="132">IK5+1</f>
        <v>45921</v>
      </c>
      <c r="IM5" s="48">
        <f>IL5+1</f>
        <v>45922</v>
      </c>
      <c r="IN5" s="49">
        <f>IM5+1</f>
        <v>45923</v>
      </c>
      <c r="IO5" s="49">
        <f t="shared" ref="IO5" si="133">IN5+1</f>
        <v>45924</v>
      </c>
      <c r="IP5" s="49">
        <f t="shared" ref="IP5" si="134">IO5+1</f>
        <v>45925</v>
      </c>
      <c r="IQ5" s="49">
        <f t="shared" ref="IQ5" si="135">IP5+1</f>
        <v>45926</v>
      </c>
      <c r="IR5" s="49">
        <f t="shared" ref="IR5" si="136">IQ5+1</f>
        <v>45927</v>
      </c>
      <c r="IS5" s="50">
        <f t="shared" ref="IS5" si="137">IR5+1</f>
        <v>45928</v>
      </c>
      <c r="IT5" s="48">
        <f>IS5+1</f>
        <v>45929</v>
      </c>
      <c r="IU5" s="49">
        <f>IT5+1</f>
        <v>45930</v>
      </c>
      <c r="IV5" s="49">
        <f t="shared" ref="IV5" si="138">IU5+1</f>
        <v>45931</v>
      </c>
      <c r="IW5" s="49">
        <f t="shared" ref="IW5" si="139">IV5+1</f>
        <v>45932</v>
      </c>
      <c r="IX5" s="49">
        <f t="shared" ref="IX5" si="140">IW5+1</f>
        <v>45933</v>
      </c>
      <c r="IY5" s="49">
        <f t="shared" ref="IY5" si="141">IX5+1</f>
        <v>45934</v>
      </c>
      <c r="IZ5" s="50">
        <f t="shared" ref="IZ5" si="142">IY5+1</f>
        <v>45935</v>
      </c>
      <c r="JA5" s="48">
        <f>IZ5+1</f>
        <v>45936</v>
      </c>
      <c r="JB5" s="49">
        <f>JA5+1</f>
        <v>45937</v>
      </c>
      <c r="JC5" s="49">
        <f t="shared" ref="JC5" si="143">JB5+1</f>
        <v>45938</v>
      </c>
      <c r="JD5" s="49">
        <f t="shared" ref="JD5" si="144">JC5+1</f>
        <v>45939</v>
      </c>
      <c r="JE5" s="49">
        <f t="shared" ref="JE5" si="145">JD5+1</f>
        <v>45940</v>
      </c>
      <c r="JF5" s="49">
        <f t="shared" ref="JF5" si="146">JE5+1</f>
        <v>45941</v>
      </c>
      <c r="JG5" s="50">
        <f t="shared" ref="JG5" si="147">JF5+1</f>
        <v>45942</v>
      </c>
      <c r="JH5" s="48">
        <f>JG5+1</f>
        <v>45943</v>
      </c>
      <c r="JI5" s="49">
        <f>JH5+1</f>
        <v>45944</v>
      </c>
      <c r="JJ5" s="49">
        <f t="shared" ref="JJ5" si="148">JI5+1</f>
        <v>45945</v>
      </c>
      <c r="JK5" s="49">
        <f t="shared" ref="JK5" si="149">JJ5+1</f>
        <v>45946</v>
      </c>
      <c r="JL5" s="49">
        <f t="shared" ref="JL5" si="150">JK5+1</f>
        <v>45947</v>
      </c>
      <c r="JM5" s="49">
        <f t="shared" ref="JM5" si="151">JL5+1</f>
        <v>45948</v>
      </c>
      <c r="JN5" s="50">
        <f t="shared" ref="JN5" si="152">JM5+1</f>
        <v>45949</v>
      </c>
      <c r="JO5" s="48">
        <f>JN5+1</f>
        <v>45950</v>
      </c>
      <c r="JP5" s="49">
        <f>JO5+1</f>
        <v>45951</v>
      </c>
      <c r="JQ5" s="49">
        <f t="shared" ref="JQ5" si="153">JP5+1</f>
        <v>45952</v>
      </c>
      <c r="JR5" s="49">
        <f t="shared" ref="JR5" si="154">JQ5+1</f>
        <v>45953</v>
      </c>
      <c r="JS5" s="49">
        <f t="shared" ref="JS5" si="155">JR5+1</f>
        <v>45954</v>
      </c>
      <c r="JT5" s="49">
        <f t="shared" ref="JT5" si="156">JS5+1</f>
        <v>45955</v>
      </c>
      <c r="JU5" s="50">
        <f t="shared" ref="JU5" si="157">JT5+1</f>
        <v>45956</v>
      </c>
      <c r="JV5" s="48">
        <f>JU5+1</f>
        <v>45957</v>
      </c>
      <c r="JW5" s="49">
        <f>JV5+1</f>
        <v>45958</v>
      </c>
      <c r="JX5" s="49">
        <f t="shared" ref="JX5" si="158">JW5+1</f>
        <v>45959</v>
      </c>
      <c r="JY5" s="49">
        <f t="shared" ref="JY5" si="159">JX5+1</f>
        <v>45960</v>
      </c>
      <c r="JZ5" s="49">
        <f t="shared" ref="JZ5" si="160">JY5+1</f>
        <v>45961</v>
      </c>
      <c r="KA5" s="49">
        <f t="shared" ref="KA5" si="161">JZ5+1</f>
        <v>45962</v>
      </c>
      <c r="KB5" s="50">
        <f t="shared" ref="KB5" si="162">KA5+1</f>
        <v>45963</v>
      </c>
      <c r="KC5" s="48">
        <f>KB5+1</f>
        <v>45964</v>
      </c>
      <c r="KD5" s="49">
        <f>KC5+1</f>
        <v>45965</v>
      </c>
      <c r="KE5" s="49">
        <f t="shared" ref="KE5" si="163">KD5+1</f>
        <v>45966</v>
      </c>
      <c r="KF5" s="49">
        <f t="shared" ref="KF5" si="164">KE5+1</f>
        <v>45967</v>
      </c>
      <c r="KG5" s="49">
        <f t="shared" ref="KG5" si="165">KF5+1</f>
        <v>45968</v>
      </c>
      <c r="KH5" s="49">
        <f t="shared" ref="KH5" si="166">KG5+1</f>
        <v>45969</v>
      </c>
      <c r="KI5" s="50">
        <f t="shared" ref="KI5" si="167">KH5+1</f>
        <v>45970</v>
      </c>
      <c r="KJ5" s="48">
        <f>KI5+1</f>
        <v>45971</v>
      </c>
      <c r="KK5" s="49">
        <f>KJ5+1</f>
        <v>45972</v>
      </c>
      <c r="KL5" s="49">
        <f t="shared" ref="KL5" si="168">KK5+1</f>
        <v>45973</v>
      </c>
      <c r="KM5" s="49">
        <f t="shared" ref="KM5" si="169">KL5+1</f>
        <v>45974</v>
      </c>
      <c r="KN5" s="49">
        <f t="shared" ref="KN5" si="170">KM5+1</f>
        <v>45975</v>
      </c>
      <c r="KO5" s="49">
        <f t="shared" ref="KO5" si="171">KN5+1</f>
        <v>45976</v>
      </c>
      <c r="KP5" s="50">
        <f t="shared" ref="KP5" si="172">KO5+1</f>
        <v>45977</v>
      </c>
      <c r="KQ5" s="48">
        <f>KP5+1</f>
        <v>45978</v>
      </c>
      <c r="KR5" s="49">
        <f>KQ5+1</f>
        <v>45979</v>
      </c>
      <c r="KS5" s="49">
        <f t="shared" ref="KS5" si="173">KR5+1</f>
        <v>45980</v>
      </c>
      <c r="KT5" s="49">
        <f t="shared" ref="KT5" si="174">KS5+1</f>
        <v>45981</v>
      </c>
      <c r="KU5" s="49">
        <f t="shared" ref="KU5" si="175">KT5+1</f>
        <v>45982</v>
      </c>
      <c r="KV5" s="49">
        <f t="shared" ref="KV5" si="176">KU5+1</f>
        <v>45983</v>
      </c>
      <c r="KW5" s="50">
        <f t="shared" ref="KW5" si="177">KV5+1</f>
        <v>45984</v>
      </c>
      <c r="KX5" s="48">
        <f>KW5+1</f>
        <v>45985</v>
      </c>
      <c r="KY5" s="49">
        <f>KX5+1</f>
        <v>45986</v>
      </c>
      <c r="KZ5" s="49">
        <f t="shared" ref="KZ5" si="178">KY5+1</f>
        <v>45987</v>
      </c>
      <c r="LA5" s="49">
        <f t="shared" ref="LA5" si="179">KZ5+1</f>
        <v>45988</v>
      </c>
      <c r="LB5" s="49">
        <f t="shared" ref="LB5" si="180">LA5+1</f>
        <v>45989</v>
      </c>
      <c r="LC5" s="49">
        <f t="shared" ref="LC5" si="181">LB5+1</f>
        <v>45990</v>
      </c>
      <c r="LD5" s="50">
        <f t="shared" ref="LD5" si="182">LC5+1</f>
        <v>45991</v>
      </c>
      <c r="LE5" s="48">
        <f>LD5+1</f>
        <v>45992</v>
      </c>
      <c r="LF5" s="49">
        <f>LE5+1</f>
        <v>45993</v>
      </c>
      <c r="LG5" s="49">
        <f t="shared" ref="LG5" si="183">LF5+1</f>
        <v>45994</v>
      </c>
      <c r="LH5" s="49">
        <f t="shared" ref="LH5" si="184">LG5+1</f>
        <v>45995</v>
      </c>
      <c r="LI5" s="49">
        <f t="shared" ref="LI5" si="185">LH5+1</f>
        <v>45996</v>
      </c>
      <c r="LJ5" s="49">
        <f t="shared" ref="LJ5" si="186">LI5+1</f>
        <v>45997</v>
      </c>
      <c r="LK5" s="49">
        <f t="shared" ref="LK5" si="187">LJ5+1</f>
        <v>45998</v>
      </c>
      <c r="LL5" s="64"/>
      <c r="LM5" s="64"/>
      <c r="LN5" s="64"/>
      <c r="LO5" s="64"/>
      <c r="LP5" s="64"/>
      <c r="LQ5" s="64"/>
      <c r="LR5" s="64"/>
      <c r="LS5" s="64"/>
      <c r="LT5" s="64"/>
      <c r="LU5" s="64"/>
      <c r="LV5" s="64"/>
      <c r="LW5" s="64"/>
      <c r="LX5" s="64"/>
      <c r="LY5" s="64"/>
      <c r="LZ5" s="64"/>
      <c r="MA5" s="64"/>
      <c r="MB5" s="64"/>
      <c r="MC5" s="64"/>
      <c r="MD5" s="64"/>
      <c r="ME5" s="64"/>
      <c r="MF5" s="64"/>
      <c r="MG5" s="64"/>
      <c r="MH5" s="64"/>
      <c r="MI5" s="64"/>
      <c r="MJ5" s="64"/>
      <c r="MK5" s="64"/>
      <c r="ML5" s="64"/>
      <c r="MM5" s="64"/>
      <c r="MN5" s="64"/>
      <c r="MO5" s="64"/>
      <c r="MP5" s="64"/>
      <c r="MQ5" s="64"/>
      <c r="MR5" s="64"/>
      <c r="MS5" s="64"/>
      <c r="MT5" s="64"/>
    </row>
    <row r="6" spans="2:358" ht="30" customHeight="1" thickBot="1" x14ac:dyDescent="0.3">
      <c r="B6" s="20" t="s">
        <v>9</v>
      </c>
      <c r="C6" s="7" t="s">
        <v>10</v>
      </c>
      <c r="D6" s="8" t="s">
        <v>11</v>
      </c>
      <c r="E6" s="8" t="s">
        <v>12</v>
      </c>
      <c r="F6" s="8" t="s">
        <v>13</v>
      </c>
      <c r="G6" s="8"/>
      <c r="H6" s="8" t="s">
        <v>14</v>
      </c>
      <c r="I6" s="9" t="str">
        <f t="shared" ref="I6" si="188">LEFT(TEXT(I5,"ddd"),1)</f>
        <v>l</v>
      </c>
      <c r="J6" s="9" t="str">
        <f t="shared" ref="J6:AR6" si="189">LEFT(TEXT(J5,"ddd"),1)</f>
        <v>m</v>
      </c>
      <c r="K6" s="9" t="str">
        <f t="shared" si="189"/>
        <v>m</v>
      </c>
      <c r="L6" s="9" t="str">
        <f t="shared" si="189"/>
        <v>j</v>
      </c>
      <c r="M6" s="9" t="str">
        <f t="shared" si="189"/>
        <v>v</v>
      </c>
      <c r="N6" s="9" t="str">
        <f>LEFT(TEXT(N5,"ddd"),1)</f>
        <v>s</v>
      </c>
      <c r="O6" s="9" t="str">
        <f t="shared" si="189"/>
        <v>d</v>
      </c>
      <c r="P6" s="9" t="str">
        <f t="shared" si="189"/>
        <v>l</v>
      </c>
      <c r="Q6" s="9" t="str">
        <f t="shared" si="189"/>
        <v>m</v>
      </c>
      <c r="R6" s="9" t="str">
        <f t="shared" si="189"/>
        <v>m</v>
      </c>
      <c r="S6" s="9" t="str">
        <f t="shared" si="189"/>
        <v>j</v>
      </c>
      <c r="T6" s="9" t="str">
        <f t="shared" si="189"/>
        <v>v</v>
      </c>
      <c r="U6" s="9" t="str">
        <f t="shared" si="189"/>
        <v>s</v>
      </c>
      <c r="V6" s="9" t="str">
        <f t="shared" si="189"/>
        <v>d</v>
      </c>
      <c r="W6" s="9" t="str">
        <f t="shared" si="189"/>
        <v>l</v>
      </c>
      <c r="X6" s="9" t="str">
        <f t="shared" si="189"/>
        <v>m</v>
      </c>
      <c r="Y6" s="9" t="str">
        <f t="shared" si="189"/>
        <v>m</v>
      </c>
      <c r="Z6" s="9" t="str">
        <f t="shared" si="189"/>
        <v>j</v>
      </c>
      <c r="AA6" s="9" t="str">
        <f t="shared" si="189"/>
        <v>v</v>
      </c>
      <c r="AB6" s="9" t="str">
        <f t="shared" si="189"/>
        <v>s</v>
      </c>
      <c r="AC6" s="9" t="str">
        <f t="shared" si="189"/>
        <v>d</v>
      </c>
      <c r="AD6" s="9" t="str">
        <f t="shared" si="189"/>
        <v>l</v>
      </c>
      <c r="AE6" s="9" t="str">
        <f t="shared" si="189"/>
        <v>m</v>
      </c>
      <c r="AF6" s="9" t="str">
        <f t="shared" si="189"/>
        <v>m</v>
      </c>
      <c r="AG6" s="9" t="str">
        <f t="shared" si="189"/>
        <v>j</v>
      </c>
      <c r="AH6" s="9" t="str">
        <f t="shared" si="189"/>
        <v>v</v>
      </c>
      <c r="AI6" s="9" t="str">
        <f t="shared" si="189"/>
        <v>s</v>
      </c>
      <c r="AJ6" s="9" t="str">
        <f t="shared" si="189"/>
        <v>d</v>
      </c>
      <c r="AK6" s="9" t="str">
        <f t="shared" si="189"/>
        <v>l</v>
      </c>
      <c r="AL6" s="9" t="str">
        <f t="shared" si="189"/>
        <v>m</v>
      </c>
      <c r="AM6" s="9" t="str">
        <f t="shared" si="189"/>
        <v>m</v>
      </c>
      <c r="AN6" s="9" t="str">
        <f t="shared" si="189"/>
        <v>j</v>
      </c>
      <c r="AO6" s="9" t="str">
        <f t="shared" si="189"/>
        <v>v</v>
      </c>
      <c r="AP6" s="9" t="str">
        <f t="shared" si="189"/>
        <v>s</v>
      </c>
      <c r="AQ6" s="9" t="str">
        <f t="shared" si="189"/>
        <v>d</v>
      </c>
      <c r="AR6" s="9" t="str">
        <f t="shared" si="189"/>
        <v>l</v>
      </c>
      <c r="AS6" s="9" t="str">
        <f t="shared" ref="AS6:BL6" si="190">LEFT(TEXT(AS5,"ddd"),1)</f>
        <v>m</v>
      </c>
      <c r="AT6" s="9" t="str">
        <f t="shared" si="190"/>
        <v>m</v>
      </c>
      <c r="AU6" s="9" t="str">
        <f t="shared" si="190"/>
        <v>j</v>
      </c>
      <c r="AV6" s="9" t="str">
        <f t="shared" si="190"/>
        <v>v</v>
      </c>
      <c r="AW6" s="9" t="str">
        <f t="shared" si="190"/>
        <v>s</v>
      </c>
      <c r="AX6" s="9" t="str">
        <f t="shared" si="190"/>
        <v>d</v>
      </c>
      <c r="AY6" s="9" t="str">
        <f t="shared" si="190"/>
        <v>l</v>
      </c>
      <c r="AZ6" s="9" t="str">
        <f t="shared" si="190"/>
        <v>m</v>
      </c>
      <c r="BA6" s="9" t="str">
        <f t="shared" si="190"/>
        <v>m</v>
      </c>
      <c r="BB6" s="9" t="str">
        <f t="shared" si="190"/>
        <v>j</v>
      </c>
      <c r="BC6" s="9" t="str">
        <f t="shared" si="190"/>
        <v>v</v>
      </c>
      <c r="BD6" s="9" t="str">
        <f t="shared" si="190"/>
        <v>s</v>
      </c>
      <c r="BE6" s="9" t="str">
        <f t="shared" si="190"/>
        <v>d</v>
      </c>
      <c r="BF6" s="9" t="str">
        <f t="shared" si="190"/>
        <v>l</v>
      </c>
      <c r="BG6" s="9" t="str">
        <f t="shared" si="190"/>
        <v>m</v>
      </c>
      <c r="BH6" s="9" t="str">
        <f t="shared" si="190"/>
        <v>m</v>
      </c>
      <c r="BI6" s="9" t="str">
        <f t="shared" si="190"/>
        <v>j</v>
      </c>
      <c r="BJ6" s="9" t="str">
        <f t="shared" si="190"/>
        <v>v</v>
      </c>
      <c r="BK6" s="9" t="str">
        <f t="shared" si="190"/>
        <v>s</v>
      </c>
      <c r="BL6" s="9" t="str">
        <f t="shared" si="190"/>
        <v>d</v>
      </c>
      <c r="BM6" s="9" t="str">
        <f t="shared" ref="BM6:BS6" si="191">LEFT(TEXT(BM5,"ddd"),1)</f>
        <v>l</v>
      </c>
      <c r="BN6" s="9" t="str">
        <f t="shared" si="191"/>
        <v>m</v>
      </c>
      <c r="BO6" s="9" t="str">
        <f t="shared" si="191"/>
        <v>m</v>
      </c>
      <c r="BP6" s="9" t="str">
        <f t="shared" si="191"/>
        <v>j</v>
      </c>
      <c r="BQ6" s="9" t="str">
        <f t="shared" si="191"/>
        <v>v</v>
      </c>
      <c r="BR6" s="9" t="str">
        <f t="shared" si="191"/>
        <v>s</v>
      </c>
      <c r="BS6" s="9" t="str">
        <f t="shared" si="191"/>
        <v>d</v>
      </c>
      <c r="BT6" s="9" t="str">
        <f t="shared" ref="BT6:CN6" si="192">LEFT(TEXT(BT5,"ddd"),1)</f>
        <v>l</v>
      </c>
      <c r="BU6" s="9" t="str">
        <f t="shared" si="192"/>
        <v>m</v>
      </c>
      <c r="BV6" s="9" t="str">
        <f t="shared" si="192"/>
        <v>m</v>
      </c>
      <c r="BW6" s="9" t="str">
        <f t="shared" si="192"/>
        <v>j</v>
      </c>
      <c r="BX6" s="9" t="str">
        <f t="shared" si="192"/>
        <v>v</v>
      </c>
      <c r="BY6" s="9" t="str">
        <f t="shared" si="192"/>
        <v>s</v>
      </c>
      <c r="BZ6" s="9" t="str">
        <f t="shared" si="192"/>
        <v>d</v>
      </c>
      <c r="CA6" s="9" t="str">
        <f t="shared" si="192"/>
        <v>l</v>
      </c>
      <c r="CB6" s="9" t="str">
        <f t="shared" si="192"/>
        <v>m</v>
      </c>
      <c r="CC6" s="9" t="str">
        <f t="shared" si="192"/>
        <v>m</v>
      </c>
      <c r="CD6" s="9" t="str">
        <f t="shared" si="192"/>
        <v>j</v>
      </c>
      <c r="CE6" s="9" t="str">
        <f t="shared" si="192"/>
        <v>v</v>
      </c>
      <c r="CF6" s="9" t="str">
        <f t="shared" si="192"/>
        <v>s</v>
      </c>
      <c r="CG6" s="9" t="str">
        <f t="shared" si="192"/>
        <v>d</v>
      </c>
      <c r="CH6" s="9" t="str">
        <f t="shared" si="192"/>
        <v>l</v>
      </c>
      <c r="CI6" s="9" t="str">
        <f t="shared" si="192"/>
        <v>m</v>
      </c>
      <c r="CJ6" s="9" t="str">
        <f t="shared" si="192"/>
        <v>m</v>
      </c>
      <c r="CK6" s="9" t="str">
        <f t="shared" si="192"/>
        <v>j</v>
      </c>
      <c r="CL6" s="9" t="str">
        <f t="shared" si="192"/>
        <v>v</v>
      </c>
      <c r="CM6" s="9" t="str">
        <f t="shared" si="192"/>
        <v>s</v>
      </c>
      <c r="CN6" s="9" t="str">
        <f t="shared" si="192"/>
        <v>d</v>
      </c>
      <c r="CO6" s="9" t="str">
        <f t="shared" ref="CO6:DP6" si="193">LEFT(TEXT(CO5,"ddd"),1)</f>
        <v>l</v>
      </c>
      <c r="CP6" s="9" t="str">
        <f t="shared" si="193"/>
        <v>m</v>
      </c>
      <c r="CQ6" s="9" t="str">
        <f t="shared" si="193"/>
        <v>m</v>
      </c>
      <c r="CR6" s="9" t="str">
        <f t="shared" si="193"/>
        <v>j</v>
      </c>
      <c r="CS6" s="9" t="str">
        <f t="shared" si="193"/>
        <v>v</v>
      </c>
      <c r="CT6" s="9" t="str">
        <f t="shared" si="193"/>
        <v>s</v>
      </c>
      <c r="CU6" s="9" t="str">
        <f t="shared" si="193"/>
        <v>d</v>
      </c>
      <c r="CV6" s="9" t="str">
        <f t="shared" si="193"/>
        <v>l</v>
      </c>
      <c r="CW6" s="9" t="str">
        <f t="shared" si="193"/>
        <v>m</v>
      </c>
      <c r="CX6" s="9" t="str">
        <f t="shared" si="193"/>
        <v>m</v>
      </c>
      <c r="CY6" s="9" t="str">
        <f t="shared" si="193"/>
        <v>j</v>
      </c>
      <c r="CZ6" s="9" t="str">
        <f t="shared" si="193"/>
        <v>v</v>
      </c>
      <c r="DA6" s="9" t="str">
        <f t="shared" si="193"/>
        <v>s</v>
      </c>
      <c r="DB6" s="9" t="str">
        <f t="shared" si="193"/>
        <v>d</v>
      </c>
      <c r="DC6" s="9" t="str">
        <f t="shared" si="193"/>
        <v>l</v>
      </c>
      <c r="DD6" s="9" t="str">
        <f t="shared" si="193"/>
        <v>m</v>
      </c>
      <c r="DE6" s="9" t="str">
        <f t="shared" si="193"/>
        <v>m</v>
      </c>
      <c r="DF6" s="9" t="str">
        <f t="shared" si="193"/>
        <v>j</v>
      </c>
      <c r="DG6" s="9" t="str">
        <f t="shared" si="193"/>
        <v>v</v>
      </c>
      <c r="DH6" s="9" t="str">
        <f t="shared" si="193"/>
        <v>s</v>
      </c>
      <c r="DI6" s="9" t="str">
        <f t="shared" si="193"/>
        <v>d</v>
      </c>
      <c r="DJ6" s="9" t="str">
        <f t="shared" si="193"/>
        <v>l</v>
      </c>
      <c r="DK6" s="9" t="str">
        <f t="shared" si="193"/>
        <v>m</v>
      </c>
      <c r="DL6" s="9" t="str">
        <f t="shared" si="193"/>
        <v>m</v>
      </c>
      <c r="DM6" s="9" t="str">
        <f t="shared" si="193"/>
        <v>j</v>
      </c>
      <c r="DN6" s="9" t="str">
        <f t="shared" si="193"/>
        <v>v</v>
      </c>
      <c r="DO6" s="9" t="str">
        <f t="shared" si="193"/>
        <v>s</v>
      </c>
      <c r="DP6" s="9" t="str">
        <f t="shared" si="193"/>
        <v>d</v>
      </c>
      <c r="DQ6" s="9" t="str">
        <f t="shared" ref="DQ6:GB6" si="194">LEFT(TEXT(DQ5,"ddd"),1)</f>
        <v>l</v>
      </c>
      <c r="DR6" s="9" t="str">
        <f t="shared" si="194"/>
        <v>m</v>
      </c>
      <c r="DS6" s="9" t="str">
        <f t="shared" si="194"/>
        <v>m</v>
      </c>
      <c r="DT6" s="9" t="str">
        <f t="shared" si="194"/>
        <v>j</v>
      </c>
      <c r="DU6" s="9" t="str">
        <f t="shared" si="194"/>
        <v>v</v>
      </c>
      <c r="DV6" s="9" t="str">
        <f t="shared" si="194"/>
        <v>s</v>
      </c>
      <c r="DW6" s="9" t="str">
        <f t="shared" si="194"/>
        <v>d</v>
      </c>
      <c r="DX6" s="9" t="str">
        <f t="shared" si="194"/>
        <v>l</v>
      </c>
      <c r="DY6" s="9" t="str">
        <f t="shared" si="194"/>
        <v>m</v>
      </c>
      <c r="DZ6" s="9" t="str">
        <f t="shared" si="194"/>
        <v>m</v>
      </c>
      <c r="EA6" s="9" t="str">
        <f t="shared" si="194"/>
        <v>j</v>
      </c>
      <c r="EB6" s="9" t="str">
        <f t="shared" si="194"/>
        <v>v</v>
      </c>
      <c r="EC6" s="9" t="str">
        <f t="shared" si="194"/>
        <v>s</v>
      </c>
      <c r="ED6" s="9" t="str">
        <f t="shared" si="194"/>
        <v>d</v>
      </c>
      <c r="EE6" s="9" t="str">
        <f t="shared" si="194"/>
        <v>l</v>
      </c>
      <c r="EF6" s="9" t="str">
        <f t="shared" si="194"/>
        <v>m</v>
      </c>
      <c r="EG6" s="9" t="str">
        <f t="shared" si="194"/>
        <v>m</v>
      </c>
      <c r="EH6" s="9" t="str">
        <f t="shared" si="194"/>
        <v>j</v>
      </c>
      <c r="EI6" s="9" t="str">
        <f t="shared" si="194"/>
        <v>v</v>
      </c>
      <c r="EJ6" s="9" t="str">
        <f t="shared" si="194"/>
        <v>s</v>
      </c>
      <c r="EK6" s="9" t="str">
        <f t="shared" si="194"/>
        <v>d</v>
      </c>
      <c r="EL6" s="9" t="str">
        <f t="shared" si="194"/>
        <v>l</v>
      </c>
      <c r="EM6" s="9" t="str">
        <f t="shared" si="194"/>
        <v>m</v>
      </c>
      <c r="EN6" s="9" t="str">
        <f t="shared" si="194"/>
        <v>m</v>
      </c>
      <c r="EO6" s="9" t="str">
        <f t="shared" si="194"/>
        <v>j</v>
      </c>
      <c r="EP6" s="9" t="str">
        <f t="shared" si="194"/>
        <v>v</v>
      </c>
      <c r="EQ6" s="9" t="str">
        <f t="shared" si="194"/>
        <v>s</v>
      </c>
      <c r="ER6" s="9" t="str">
        <f t="shared" si="194"/>
        <v>d</v>
      </c>
      <c r="ES6" s="9" t="str">
        <f t="shared" si="194"/>
        <v>l</v>
      </c>
      <c r="ET6" s="9" t="str">
        <f t="shared" si="194"/>
        <v>m</v>
      </c>
      <c r="EU6" s="9" t="str">
        <f t="shared" si="194"/>
        <v>m</v>
      </c>
      <c r="EV6" s="9" t="str">
        <f t="shared" si="194"/>
        <v>j</v>
      </c>
      <c r="EW6" s="9" t="str">
        <f t="shared" si="194"/>
        <v>v</v>
      </c>
      <c r="EX6" s="9" t="str">
        <f t="shared" si="194"/>
        <v>s</v>
      </c>
      <c r="EY6" s="9" t="str">
        <f t="shared" si="194"/>
        <v>d</v>
      </c>
      <c r="EZ6" s="9" t="str">
        <f t="shared" si="194"/>
        <v>l</v>
      </c>
      <c r="FA6" s="9" t="str">
        <f t="shared" si="194"/>
        <v>m</v>
      </c>
      <c r="FB6" s="9" t="str">
        <f t="shared" si="194"/>
        <v>m</v>
      </c>
      <c r="FC6" s="9" t="str">
        <f t="shared" si="194"/>
        <v>j</v>
      </c>
      <c r="FD6" s="9" t="str">
        <f t="shared" si="194"/>
        <v>v</v>
      </c>
      <c r="FE6" s="9" t="str">
        <f t="shared" si="194"/>
        <v>s</v>
      </c>
      <c r="FF6" s="9" t="str">
        <f t="shared" si="194"/>
        <v>d</v>
      </c>
      <c r="FG6" s="9" t="str">
        <f t="shared" si="194"/>
        <v>l</v>
      </c>
      <c r="FH6" s="9" t="str">
        <f t="shared" si="194"/>
        <v>m</v>
      </c>
      <c r="FI6" s="9" t="str">
        <f t="shared" si="194"/>
        <v>m</v>
      </c>
      <c r="FJ6" s="9" t="str">
        <f t="shared" si="194"/>
        <v>j</v>
      </c>
      <c r="FK6" s="9" t="str">
        <f t="shared" si="194"/>
        <v>v</v>
      </c>
      <c r="FL6" s="9" t="str">
        <f t="shared" si="194"/>
        <v>s</v>
      </c>
      <c r="FM6" s="9" t="str">
        <f t="shared" si="194"/>
        <v>d</v>
      </c>
      <c r="FN6" s="9" t="str">
        <f t="shared" si="194"/>
        <v>l</v>
      </c>
      <c r="FO6" s="9" t="str">
        <f t="shared" si="194"/>
        <v>m</v>
      </c>
      <c r="FP6" s="9" t="str">
        <f t="shared" si="194"/>
        <v>m</v>
      </c>
      <c r="FQ6" s="9" t="str">
        <f t="shared" si="194"/>
        <v>j</v>
      </c>
      <c r="FR6" s="9" t="str">
        <f t="shared" si="194"/>
        <v>v</v>
      </c>
      <c r="FS6" s="9" t="str">
        <f t="shared" si="194"/>
        <v>s</v>
      </c>
      <c r="FT6" s="9" t="str">
        <f t="shared" si="194"/>
        <v>d</v>
      </c>
      <c r="FU6" s="9" t="str">
        <f t="shared" si="194"/>
        <v>l</v>
      </c>
      <c r="FV6" s="9" t="str">
        <f t="shared" si="194"/>
        <v>m</v>
      </c>
      <c r="FW6" s="9" t="str">
        <f t="shared" si="194"/>
        <v>m</v>
      </c>
      <c r="FX6" s="9" t="str">
        <f t="shared" si="194"/>
        <v>j</v>
      </c>
      <c r="FY6" s="9" t="str">
        <f t="shared" si="194"/>
        <v>v</v>
      </c>
      <c r="FZ6" s="9" t="str">
        <f t="shared" si="194"/>
        <v>s</v>
      </c>
      <c r="GA6" s="9" t="str">
        <f t="shared" si="194"/>
        <v>d</v>
      </c>
      <c r="GB6" s="9" t="str">
        <f t="shared" si="194"/>
        <v>l</v>
      </c>
      <c r="GC6" s="9" t="str">
        <f t="shared" ref="GC6:IN6" si="195">LEFT(TEXT(GC5,"ddd"),1)</f>
        <v>m</v>
      </c>
      <c r="GD6" s="9" t="str">
        <f t="shared" si="195"/>
        <v>m</v>
      </c>
      <c r="GE6" s="9" t="str">
        <f t="shared" si="195"/>
        <v>j</v>
      </c>
      <c r="GF6" s="9" t="str">
        <f t="shared" si="195"/>
        <v>v</v>
      </c>
      <c r="GG6" s="9" t="str">
        <f t="shared" si="195"/>
        <v>s</v>
      </c>
      <c r="GH6" s="9" t="str">
        <f t="shared" si="195"/>
        <v>d</v>
      </c>
      <c r="GI6" s="9" t="str">
        <f t="shared" si="195"/>
        <v>l</v>
      </c>
      <c r="GJ6" s="9" t="str">
        <f t="shared" si="195"/>
        <v>m</v>
      </c>
      <c r="GK6" s="9" t="str">
        <f t="shared" si="195"/>
        <v>m</v>
      </c>
      <c r="GL6" s="9" t="str">
        <f t="shared" si="195"/>
        <v>j</v>
      </c>
      <c r="GM6" s="9" t="str">
        <f t="shared" si="195"/>
        <v>v</v>
      </c>
      <c r="GN6" s="9" t="str">
        <f t="shared" si="195"/>
        <v>s</v>
      </c>
      <c r="GO6" s="9" t="str">
        <f t="shared" si="195"/>
        <v>d</v>
      </c>
      <c r="GP6" s="9" t="str">
        <f t="shared" si="195"/>
        <v>l</v>
      </c>
      <c r="GQ6" s="9" t="str">
        <f t="shared" si="195"/>
        <v>m</v>
      </c>
      <c r="GR6" s="9" t="str">
        <f t="shared" si="195"/>
        <v>m</v>
      </c>
      <c r="GS6" s="9" t="str">
        <f t="shared" si="195"/>
        <v>j</v>
      </c>
      <c r="GT6" s="9" t="str">
        <f t="shared" si="195"/>
        <v>v</v>
      </c>
      <c r="GU6" s="9" t="str">
        <f t="shared" si="195"/>
        <v>s</v>
      </c>
      <c r="GV6" s="9" t="str">
        <f t="shared" si="195"/>
        <v>d</v>
      </c>
      <c r="GW6" s="9" t="str">
        <f t="shared" si="195"/>
        <v>l</v>
      </c>
      <c r="GX6" s="9" t="str">
        <f t="shared" si="195"/>
        <v>m</v>
      </c>
      <c r="GY6" s="9" t="str">
        <f t="shared" si="195"/>
        <v>m</v>
      </c>
      <c r="GZ6" s="9" t="str">
        <f t="shared" si="195"/>
        <v>j</v>
      </c>
      <c r="HA6" s="9" t="str">
        <f t="shared" si="195"/>
        <v>v</v>
      </c>
      <c r="HB6" s="9" t="str">
        <f t="shared" si="195"/>
        <v>s</v>
      </c>
      <c r="HC6" s="9" t="str">
        <f t="shared" si="195"/>
        <v>d</v>
      </c>
      <c r="HD6" s="9" t="str">
        <f t="shared" si="195"/>
        <v>l</v>
      </c>
      <c r="HE6" s="9" t="str">
        <f t="shared" si="195"/>
        <v>m</v>
      </c>
      <c r="HF6" s="9" t="str">
        <f t="shared" si="195"/>
        <v>m</v>
      </c>
      <c r="HG6" s="9" t="str">
        <f t="shared" si="195"/>
        <v>j</v>
      </c>
      <c r="HH6" s="9" t="str">
        <f t="shared" si="195"/>
        <v>v</v>
      </c>
      <c r="HI6" s="9" t="str">
        <f t="shared" si="195"/>
        <v>s</v>
      </c>
      <c r="HJ6" s="9" t="str">
        <f t="shared" si="195"/>
        <v>d</v>
      </c>
      <c r="HK6" s="9" t="str">
        <f t="shared" si="195"/>
        <v>l</v>
      </c>
      <c r="HL6" s="9" t="str">
        <f t="shared" si="195"/>
        <v>m</v>
      </c>
      <c r="HM6" s="9" t="str">
        <f t="shared" si="195"/>
        <v>m</v>
      </c>
      <c r="HN6" s="9" t="str">
        <f t="shared" si="195"/>
        <v>j</v>
      </c>
      <c r="HO6" s="9" t="str">
        <f t="shared" si="195"/>
        <v>v</v>
      </c>
      <c r="HP6" s="9" t="str">
        <f t="shared" si="195"/>
        <v>s</v>
      </c>
      <c r="HQ6" s="9" t="str">
        <f t="shared" si="195"/>
        <v>d</v>
      </c>
      <c r="HR6" s="9" t="str">
        <f t="shared" si="195"/>
        <v>l</v>
      </c>
      <c r="HS6" s="9" t="str">
        <f t="shared" si="195"/>
        <v>m</v>
      </c>
      <c r="HT6" s="9" t="str">
        <f t="shared" si="195"/>
        <v>m</v>
      </c>
      <c r="HU6" s="9" t="str">
        <f t="shared" si="195"/>
        <v>j</v>
      </c>
      <c r="HV6" s="9" t="str">
        <f t="shared" si="195"/>
        <v>v</v>
      </c>
      <c r="HW6" s="9" t="str">
        <f t="shared" si="195"/>
        <v>s</v>
      </c>
      <c r="HX6" s="9" t="str">
        <f t="shared" si="195"/>
        <v>d</v>
      </c>
      <c r="HY6" s="9" t="str">
        <f t="shared" si="195"/>
        <v>l</v>
      </c>
      <c r="HZ6" s="9" t="str">
        <f t="shared" si="195"/>
        <v>m</v>
      </c>
      <c r="IA6" s="9" t="str">
        <f t="shared" si="195"/>
        <v>m</v>
      </c>
      <c r="IB6" s="9" t="str">
        <f t="shared" si="195"/>
        <v>j</v>
      </c>
      <c r="IC6" s="9" t="str">
        <f t="shared" si="195"/>
        <v>v</v>
      </c>
      <c r="ID6" s="9" t="str">
        <f t="shared" si="195"/>
        <v>s</v>
      </c>
      <c r="IE6" s="9" t="str">
        <f t="shared" si="195"/>
        <v>d</v>
      </c>
      <c r="IF6" s="9" t="str">
        <f t="shared" si="195"/>
        <v>l</v>
      </c>
      <c r="IG6" s="9" t="str">
        <f t="shared" si="195"/>
        <v>m</v>
      </c>
      <c r="IH6" s="9" t="str">
        <f t="shared" si="195"/>
        <v>m</v>
      </c>
      <c r="II6" s="9" t="str">
        <f t="shared" si="195"/>
        <v>j</v>
      </c>
      <c r="IJ6" s="9" t="str">
        <f t="shared" si="195"/>
        <v>v</v>
      </c>
      <c r="IK6" s="9" t="str">
        <f t="shared" si="195"/>
        <v>s</v>
      </c>
      <c r="IL6" s="9" t="str">
        <f t="shared" si="195"/>
        <v>d</v>
      </c>
      <c r="IM6" s="9" t="str">
        <f t="shared" si="195"/>
        <v>l</v>
      </c>
      <c r="IN6" s="9" t="str">
        <f t="shared" si="195"/>
        <v>m</v>
      </c>
      <c r="IO6" s="9" t="str">
        <f t="shared" ref="IO6:KZ6" si="196">LEFT(TEXT(IO5,"ddd"),1)</f>
        <v>m</v>
      </c>
      <c r="IP6" s="9" t="str">
        <f t="shared" si="196"/>
        <v>j</v>
      </c>
      <c r="IQ6" s="9" t="str">
        <f t="shared" si="196"/>
        <v>v</v>
      </c>
      <c r="IR6" s="9" t="str">
        <f t="shared" si="196"/>
        <v>s</v>
      </c>
      <c r="IS6" s="9" t="str">
        <f t="shared" si="196"/>
        <v>d</v>
      </c>
      <c r="IT6" s="9" t="str">
        <f t="shared" si="196"/>
        <v>l</v>
      </c>
      <c r="IU6" s="9" t="str">
        <f t="shared" si="196"/>
        <v>m</v>
      </c>
      <c r="IV6" s="9" t="str">
        <f t="shared" si="196"/>
        <v>m</v>
      </c>
      <c r="IW6" s="9" t="str">
        <f t="shared" si="196"/>
        <v>j</v>
      </c>
      <c r="IX6" s="9" t="str">
        <f t="shared" si="196"/>
        <v>v</v>
      </c>
      <c r="IY6" s="9" t="str">
        <f t="shared" si="196"/>
        <v>s</v>
      </c>
      <c r="IZ6" s="9" t="str">
        <f t="shared" si="196"/>
        <v>d</v>
      </c>
      <c r="JA6" s="9" t="str">
        <f t="shared" si="196"/>
        <v>l</v>
      </c>
      <c r="JB6" s="9" t="str">
        <f t="shared" si="196"/>
        <v>m</v>
      </c>
      <c r="JC6" s="9" t="str">
        <f t="shared" si="196"/>
        <v>m</v>
      </c>
      <c r="JD6" s="9" t="str">
        <f t="shared" si="196"/>
        <v>j</v>
      </c>
      <c r="JE6" s="9" t="str">
        <f t="shared" si="196"/>
        <v>v</v>
      </c>
      <c r="JF6" s="9" t="str">
        <f t="shared" si="196"/>
        <v>s</v>
      </c>
      <c r="JG6" s="9" t="str">
        <f t="shared" si="196"/>
        <v>d</v>
      </c>
      <c r="JH6" s="9" t="str">
        <f t="shared" si="196"/>
        <v>l</v>
      </c>
      <c r="JI6" s="9" t="str">
        <f t="shared" si="196"/>
        <v>m</v>
      </c>
      <c r="JJ6" s="9" t="str">
        <f t="shared" si="196"/>
        <v>m</v>
      </c>
      <c r="JK6" s="9" t="str">
        <f t="shared" si="196"/>
        <v>j</v>
      </c>
      <c r="JL6" s="9" t="str">
        <f t="shared" si="196"/>
        <v>v</v>
      </c>
      <c r="JM6" s="9" t="str">
        <f t="shared" si="196"/>
        <v>s</v>
      </c>
      <c r="JN6" s="9" t="str">
        <f t="shared" si="196"/>
        <v>d</v>
      </c>
      <c r="JO6" s="9" t="str">
        <f t="shared" si="196"/>
        <v>l</v>
      </c>
      <c r="JP6" s="9" t="str">
        <f t="shared" si="196"/>
        <v>m</v>
      </c>
      <c r="JQ6" s="9" t="str">
        <f t="shared" si="196"/>
        <v>m</v>
      </c>
      <c r="JR6" s="9" t="str">
        <f t="shared" si="196"/>
        <v>j</v>
      </c>
      <c r="JS6" s="9" t="str">
        <f t="shared" si="196"/>
        <v>v</v>
      </c>
      <c r="JT6" s="9" t="str">
        <f t="shared" si="196"/>
        <v>s</v>
      </c>
      <c r="JU6" s="9" t="str">
        <f t="shared" si="196"/>
        <v>d</v>
      </c>
      <c r="JV6" s="9" t="str">
        <f t="shared" si="196"/>
        <v>l</v>
      </c>
      <c r="JW6" s="9" t="str">
        <f t="shared" si="196"/>
        <v>m</v>
      </c>
      <c r="JX6" s="9" t="str">
        <f t="shared" si="196"/>
        <v>m</v>
      </c>
      <c r="JY6" s="9" t="str">
        <f t="shared" si="196"/>
        <v>j</v>
      </c>
      <c r="JZ6" s="9" t="str">
        <f t="shared" si="196"/>
        <v>v</v>
      </c>
      <c r="KA6" s="9" t="str">
        <f t="shared" si="196"/>
        <v>s</v>
      </c>
      <c r="KB6" s="9" t="str">
        <f t="shared" si="196"/>
        <v>d</v>
      </c>
      <c r="KC6" s="9" t="str">
        <f t="shared" si="196"/>
        <v>l</v>
      </c>
      <c r="KD6" s="9" t="str">
        <f t="shared" si="196"/>
        <v>m</v>
      </c>
      <c r="KE6" s="9" t="str">
        <f t="shared" si="196"/>
        <v>m</v>
      </c>
      <c r="KF6" s="9" t="str">
        <f t="shared" si="196"/>
        <v>j</v>
      </c>
      <c r="KG6" s="9" t="str">
        <f t="shared" si="196"/>
        <v>v</v>
      </c>
      <c r="KH6" s="9" t="str">
        <f t="shared" si="196"/>
        <v>s</v>
      </c>
      <c r="KI6" s="9" t="str">
        <f t="shared" si="196"/>
        <v>d</v>
      </c>
      <c r="KJ6" s="9" t="str">
        <f t="shared" si="196"/>
        <v>l</v>
      </c>
      <c r="KK6" s="9" t="str">
        <f t="shared" si="196"/>
        <v>m</v>
      </c>
      <c r="KL6" s="9" t="str">
        <f t="shared" si="196"/>
        <v>m</v>
      </c>
      <c r="KM6" s="9" t="str">
        <f t="shared" si="196"/>
        <v>j</v>
      </c>
      <c r="KN6" s="9" t="str">
        <f t="shared" si="196"/>
        <v>v</v>
      </c>
      <c r="KO6" s="9" t="str">
        <f t="shared" si="196"/>
        <v>s</v>
      </c>
      <c r="KP6" s="9" t="str">
        <f t="shared" si="196"/>
        <v>d</v>
      </c>
      <c r="KQ6" s="9" t="str">
        <f t="shared" si="196"/>
        <v>l</v>
      </c>
      <c r="KR6" s="9" t="str">
        <f t="shared" si="196"/>
        <v>m</v>
      </c>
      <c r="KS6" s="9" t="str">
        <f t="shared" si="196"/>
        <v>m</v>
      </c>
      <c r="KT6" s="9" t="str">
        <f t="shared" si="196"/>
        <v>j</v>
      </c>
      <c r="KU6" s="9" t="str">
        <f t="shared" si="196"/>
        <v>v</v>
      </c>
      <c r="KV6" s="9" t="str">
        <f t="shared" si="196"/>
        <v>s</v>
      </c>
      <c r="KW6" s="9" t="str">
        <f t="shared" si="196"/>
        <v>d</v>
      </c>
      <c r="KX6" s="9" t="str">
        <f t="shared" si="196"/>
        <v>l</v>
      </c>
      <c r="KY6" s="9" t="str">
        <f t="shared" si="196"/>
        <v>m</v>
      </c>
      <c r="KZ6" s="9" t="str">
        <f t="shared" si="196"/>
        <v>m</v>
      </c>
      <c r="LA6" s="9" t="str">
        <f t="shared" ref="LA6:LK6" si="197">LEFT(TEXT(LA5,"ddd"),1)</f>
        <v>j</v>
      </c>
      <c r="LB6" s="9" t="str">
        <f t="shared" si="197"/>
        <v>v</v>
      </c>
      <c r="LC6" s="9" t="str">
        <f t="shared" si="197"/>
        <v>s</v>
      </c>
      <c r="LD6" s="9" t="str">
        <f t="shared" si="197"/>
        <v>d</v>
      </c>
      <c r="LE6" s="9" t="str">
        <f t="shared" si="197"/>
        <v>l</v>
      </c>
      <c r="LF6" s="9" t="str">
        <f t="shared" si="197"/>
        <v>m</v>
      </c>
      <c r="LG6" s="9" t="str">
        <f t="shared" si="197"/>
        <v>m</v>
      </c>
      <c r="LH6" s="9" t="str">
        <f t="shared" si="197"/>
        <v>j</v>
      </c>
      <c r="LI6" s="9" t="str">
        <f t="shared" si="197"/>
        <v>v</v>
      </c>
      <c r="LJ6" s="9" t="str">
        <f t="shared" si="197"/>
        <v>s</v>
      </c>
      <c r="LK6" s="62" t="str">
        <f t="shared" si="197"/>
        <v>d</v>
      </c>
      <c r="LL6" s="65"/>
      <c r="LM6" s="65"/>
      <c r="LN6" s="65"/>
      <c r="LO6" s="65"/>
      <c r="LP6" s="65"/>
      <c r="LQ6" s="65"/>
      <c r="LR6" s="65"/>
      <c r="LS6" s="65"/>
      <c r="LT6" s="65"/>
      <c r="LU6" s="65"/>
      <c r="LV6" s="65"/>
      <c r="LW6" s="65"/>
      <c r="LX6" s="65"/>
      <c r="LY6" s="65"/>
      <c r="LZ6" s="65"/>
      <c r="MA6" s="65"/>
      <c r="MB6" s="65"/>
      <c r="MC6" s="65"/>
      <c r="MD6" s="65"/>
      <c r="ME6" s="65"/>
      <c r="MF6" s="65"/>
      <c r="MG6" s="65"/>
      <c r="MH6" s="65"/>
      <c r="MI6" s="65"/>
      <c r="MJ6" s="65"/>
      <c r="MK6" s="65"/>
      <c r="ML6" s="65"/>
      <c r="MM6" s="65"/>
      <c r="MN6" s="65"/>
      <c r="MO6" s="65"/>
      <c r="MP6" s="65"/>
      <c r="MQ6" s="65"/>
      <c r="MR6" s="65"/>
      <c r="MS6" s="65"/>
      <c r="MT6" s="65"/>
    </row>
    <row r="7" spans="2:358" ht="30" hidden="1" customHeight="1" thickBot="1" x14ac:dyDescent="0.3">
      <c r="B7" s="19" t="s">
        <v>15</v>
      </c>
      <c r="D7" s="21"/>
      <c r="E7"/>
      <c r="H7" t="str">
        <f>IF(OR(ISBLANK(task_start),ISBLANK(task_end)),"",task_end-task_start+1)</f>
        <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6"/>
      <c r="JB7" s="16"/>
      <c r="JC7" s="16"/>
      <c r="JD7" s="16"/>
      <c r="JE7" s="16"/>
      <c r="JF7" s="16"/>
      <c r="JG7" s="16"/>
      <c r="JH7" s="16"/>
      <c r="JI7" s="16"/>
      <c r="JJ7" s="16"/>
      <c r="JK7" s="16"/>
      <c r="JL7" s="16"/>
      <c r="JM7" s="16"/>
      <c r="JN7" s="16"/>
      <c r="JO7" s="16"/>
      <c r="JP7" s="16"/>
      <c r="JQ7" s="16"/>
      <c r="JR7" s="16"/>
      <c r="JS7" s="16"/>
      <c r="JT7" s="16"/>
      <c r="JU7" s="16"/>
      <c r="JV7" s="16"/>
      <c r="JW7" s="16"/>
      <c r="JX7" s="16"/>
      <c r="JY7" s="16"/>
      <c r="JZ7" s="16"/>
      <c r="KA7" s="16"/>
      <c r="KB7" s="16"/>
      <c r="KC7" s="16"/>
      <c r="KD7" s="16"/>
      <c r="KE7" s="16"/>
      <c r="KF7" s="16"/>
      <c r="KG7" s="16"/>
      <c r="KH7" s="16"/>
      <c r="KI7" s="16"/>
      <c r="KJ7" s="16"/>
      <c r="KK7" s="16"/>
      <c r="KL7" s="16"/>
      <c r="KM7" s="16"/>
      <c r="KN7" s="16"/>
      <c r="KO7" s="16"/>
      <c r="KP7" s="16"/>
      <c r="KQ7" s="16"/>
      <c r="KR7" s="16"/>
      <c r="KS7" s="16"/>
      <c r="KT7" s="16"/>
      <c r="KU7" s="16"/>
      <c r="KV7" s="16"/>
      <c r="KW7" s="16"/>
      <c r="KX7" s="16"/>
      <c r="KY7" s="16"/>
      <c r="KZ7" s="16"/>
      <c r="LA7" s="16"/>
      <c r="LB7" s="16"/>
      <c r="LC7" s="16"/>
      <c r="LD7" s="16"/>
      <c r="LE7" s="16"/>
      <c r="LF7" s="16"/>
      <c r="LG7" s="16"/>
      <c r="LH7" s="16"/>
      <c r="LI7" s="16"/>
      <c r="LJ7" s="16"/>
      <c r="LK7" s="6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row>
    <row r="8" spans="2:358" ht="30" customHeight="1" thickBot="1" x14ac:dyDescent="0.3">
      <c r="C8" s="57" t="s">
        <v>16</v>
      </c>
      <c r="D8" s="58" t="s">
        <v>17</v>
      </c>
      <c r="E8" s="59">
        <v>45678</v>
      </c>
      <c r="F8" s="60">
        <v>45976</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c r="JD8" s="16"/>
      <c r="JE8" s="16"/>
      <c r="JF8" s="16"/>
      <c r="JG8" s="16"/>
      <c r="JH8" s="16"/>
      <c r="JI8" s="16"/>
      <c r="JJ8" s="16"/>
      <c r="JK8" s="16"/>
      <c r="JL8" s="16"/>
      <c r="JM8" s="16"/>
      <c r="JN8" s="16"/>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c r="KW8" s="16"/>
      <c r="KX8" s="16"/>
      <c r="KY8" s="16"/>
      <c r="KZ8" s="16"/>
      <c r="LA8" s="16"/>
      <c r="LB8" s="16"/>
      <c r="LC8" s="16"/>
      <c r="LD8" s="16"/>
      <c r="LE8" s="16"/>
      <c r="LF8" s="16"/>
      <c r="LG8" s="16"/>
      <c r="LH8" s="16"/>
      <c r="LI8" s="16"/>
      <c r="LJ8" s="16"/>
      <c r="LK8" s="6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row>
    <row r="9" spans="2:358" ht="30" customHeight="1" thickBot="1" x14ac:dyDescent="0.3">
      <c r="C9" s="57" t="s">
        <v>18</v>
      </c>
      <c r="D9" s="58" t="s">
        <v>17</v>
      </c>
      <c r="E9" s="59"/>
      <c r="F9" s="60"/>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c r="JD9" s="16"/>
      <c r="JE9" s="16"/>
      <c r="JF9" s="16"/>
      <c r="JG9" s="16"/>
      <c r="JH9" s="16"/>
      <c r="JI9" s="16"/>
      <c r="JJ9" s="16"/>
      <c r="JK9" s="16"/>
      <c r="JL9" s="16"/>
      <c r="JM9" s="16"/>
      <c r="JN9" s="16"/>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c r="KW9" s="16"/>
      <c r="KX9" s="16"/>
      <c r="KY9" s="16"/>
      <c r="KZ9" s="16"/>
      <c r="LA9" s="16"/>
      <c r="LB9" s="16"/>
      <c r="LC9" s="16"/>
      <c r="LD9" s="16"/>
      <c r="LE9" s="16"/>
      <c r="LF9" s="16"/>
      <c r="LG9" s="16"/>
      <c r="LH9" s="16"/>
      <c r="LI9" s="16"/>
      <c r="LJ9" s="16"/>
      <c r="LK9" s="6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row>
    <row r="10" spans="2:358" ht="30" customHeight="1" thickBot="1" x14ac:dyDescent="0.3">
      <c r="C10" s="74" t="s">
        <v>19</v>
      </c>
      <c r="D10" s="68" t="s">
        <v>17</v>
      </c>
      <c r="E10" s="72">
        <v>45691</v>
      </c>
      <c r="F10" s="73">
        <v>45745</v>
      </c>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c r="KW10" s="16"/>
      <c r="KX10" s="16"/>
      <c r="KY10" s="16"/>
      <c r="KZ10" s="16"/>
      <c r="LA10" s="16"/>
      <c r="LB10" s="16"/>
      <c r="LC10" s="16"/>
      <c r="LD10" s="16"/>
      <c r="LE10" s="16"/>
      <c r="LF10" s="16"/>
      <c r="LG10" s="16"/>
      <c r="LH10" s="16"/>
      <c r="LI10" s="16"/>
      <c r="LJ10" s="16"/>
      <c r="LK10" s="6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row>
    <row r="11" spans="2:358" ht="30" customHeight="1" thickBot="1" x14ac:dyDescent="0.3">
      <c r="C11" s="74" t="s">
        <v>20</v>
      </c>
      <c r="D11" s="68" t="s">
        <v>17</v>
      </c>
      <c r="E11" s="72">
        <f>F10</f>
        <v>45745</v>
      </c>
      <c r="F11" s="73">
        <v>45802</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6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row>
    <row r="12" spans="2:358" ht="30" customHeight="1" thickBot="1" x14ac:dyDescent="0.3">
      <c r="C12" s="74" t="s">
        <v>21</v>
      </c>
      <c r="D12" s="68" t="s">
        <v>17</v>
      </c>
      <c r="E12" s="72">
        <f>E11</f>
        <v>45745</v>
      </c>
      <c r="F12" s="73">
        <f>F11</f>
        <v>45802</v>
      </c>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6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row>
    <row r="13" spans="2:358" s="3" customFormat="1" ht="30" customHeight="1" thickBot="1" x14ac:dyDescent="0.3">
      <c r="B13" s="20" t="s">
        <v>22</v>
      </c>
      <c r="C13" s="11" t="s">
        <v>23</v>
      </c>
      <c r="D13" s="25"/>
      <c r="E13" s="36"/>
      <c r="F13" s="37"/>
      <c r="G13" s="10"/>
      <c r="H13" s="10" t="str">
        <f t="shared" ref="H13:H27" si="198">IF(OR(ISBLANK(task_start),ISBLANK(task_end)),"",task_end-task_start+1)</f>
        <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t="s">
        <v>24</v>
      </c>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t="s">
        <v>24</v>
      </c>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t="s">
        <v>24</v>
      </c>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t="s">
        <v>24</v>
      </c>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t="s">
        <v>24</v>
      </c>
      <c r="LK13" s="63"/>
    </row>
    <row r="14" spans="2:358" s="3" customFormat="1" ht="30" customHeight="1" thickBot="1" x14ac:dyDescent="0.3">
      <c r="B14" s="20" t="s">
        <v>25</v>
      </c>
      <c r="C14" s="52" t="s">
        <v>26</v>
      </c>
      <c r="D14" s="26" t="s">
        <v>17</v>
      </c>
      <c r="E14" s="38">
        <f>Inicio_del_proyecto</f>
        <v>45684</v>
      </c>
      <c r="F14" s="38">
        <f>Inicio_del_proyecto+4</f>
        <v>45688</v>
      </c>
      <c r="G14" s="10"/>
      <c r="H14" s="10">
        <f t="shared" si="198"/>
        <v>5</v>
      </c>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c r="KW14" s="16"/>
      <c r="KX14" s="16"/>
      <c r="KY14" s="16"/>
      <c r="KZ14" s="16"/>
      <c r="LA14" s="16"/>
      <c r="LB14" s="16"/>
      <c r="LC14" s="16"/>
      <c r="LD14" s="16"/>
      <c r="LE14" s="16"/>
      <c r="LF14" s="16"/>
      <c r="LG14" s="16"/>
      <c r="LH14" s="16"/>
      <c r="LI14" s="16"/>
      <c r="LJ14" s="16"/>
      <c r="LK14" s="63"/>
    </row>
    <row r="15" spans="2:358" s="3" customFormat="1" ht="30" customHeight="1" thickBot="1" x14ac:dyDescent="0.3">
      <c r="B15" s="20" t="s">
        <v>27</v>
      </c>
      <c r="C15" s="52" t="s">
        <v>28</v>
      </c>
      <c r="D15" s="26" t="s">
        <v>17</v>
      </c>
      <c r="E15" s="38">
        <f>F14+3</f>
        <v>45691</v>
      </c>
      <c r="F15" s="38">
        <f>E15+4</f>
        <v>45695</v>
      </c>
      <c r="G15" s="10"/>
      <c r="H15" s="10">
        <f t="shared" si="198"/>
        <v>5</v>
      </c>
      <c r="I15" s="16"/>
      <c r="J15" s="16"/>
      <c r="K15" s="16"/>
      <c r="L15" s="16"/>
      <c r="M15" s="16"/>
      <c r="N15" s="16"/>
      <c r="O15" s="16"/>
      <c r="P15" s="16"/>
      <c r="Q15" s="16"/>
      <c r="R15" s="16"/>
      <c r="S15" s="16"/>
      <c r="T15" s="16"/>
      <c r="U15" s="17"/>
      <c r="V15" s="17"/>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63"/>
    </row>
    <row r="16" spans="2:358" s="3" customFormat="1" ht="30" customHeight="1" thickBot="1" x14ac:dyDescent="0.3">
      <c r="B16" s="19"/>
      <c r="C16" s="52" t="s">
        <v>29</v>
      </c>
      <c r="D16" s="26" t="s">
        <v>17</v>
      </c>
      <c r="E16" s="38">
        <f>F15+3</f>
        <v>45698</v>
      </c>
      <c r="F16" s="38">
        <f>E16+4</f>
        <v>45702</v>
      </c>
      <c r="G16" s="10"/>
      <c r="H16" s="10">
        <f t="shared" si="198"/>
        <v>5</v>
      </c>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c r="JD16" s="16"/>
      <c r="JE16" s="16"/>
      <c r="JF16" s="16"/>
      <c r="JG16" s="16"/>
      <c r="JH16" s="16"/>
      <c r="JI16" s="16"/>
      <c r="JJ16" s="16"/>
      <c r="JK16" s="16"/>
      <c r="JL16" s="16"/>
      <c r="JM16" s="16"/>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6"/>
      <c r="KU16" s="16"/>
      <c r="KV16" s="16"/>
      <c r="KW16" s="16"/>
      <c r="KX16" s="16"/>
      <c r="KY16" s="16"/>
      <c r="KZ16" s="16"/>
      <c r="LA16" s="16"/>
      <c r="LB16" s="16"/>
      <c r="LC16" s="16"/>
      <c r="LD16" s="16"/>
      <c r="LE16" s="16"/>
      <c r="LF16" s="16"/>
      <c r="LG16" s="16"/>
      <c r="LH16" s="16"/>
      <c r="LI16" s="16"/>
      <c r="LJ16" s="16"/>
      <c r="LK16" s="63"/>
    </row>
    <row r="17" spans="2:358" s="3" customFormat="1" ht="30" customHeight="1" thickBot="1" x14ac:dyDescent="0.3">
      <c r="B17" s="20" t="s">
        <v>30</v>
      </c>
      <c r="C17" s="12" t="s">
        <v>31</v>
      </c>
      <c r="D17" s="27"/>
      <c r="E17" s="39"/>
      <c r="F17" s="40"/>
      <c r="G17" s="10"/>
      <c r="H17" s="10" t="str">
        <f t="shared" si="198"/>
        <v/>
      </c>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c r="KW17" s="16"/>
      <c r="KX17" s="16"/>
      <c r="KY17" s="16"/>
      <c r="KZ17" s="16"/>
      <c r="LA17" s="16"/>
      <c r="LB17" s="16"/>
      <c r="LC17" s="16"/>
      <c r="LD17" s="16"/>
      <c r="LE17" s="16"/>
      <c r="LF17" s="16"/>
      <c r="LG17" s="16"/>
      <c r="LH17" s="16"/>
      <c r="LI17" s="16"/>
      <c r="LJ17" s="16"/>
      <c r="LK17" s="63"/>
    </row>
    <row r="18" spans="2:358" s="3" customFormat="1" ht="42.6" customHeight="1" thickBot="1" x14ac:dyDescent="0.3">
      <c r="B18" s="20"/>
      <c r="C18" s="53" t="s">
        <v>32</v>
      </c>
      <c r="D18" s="28" t="s">
        <v>17</v>
      </c>
      <c r="E18" s="41">
        <v>45705</v>
      </c>
      <c r="F18" s="41">
        <f>E18+4</f>
        <v>45709</v>
      </c>
      <c r="G18" s="10"/>
      <c r="H18" s="10">
        <f t="shared" si="198"/>
        <v>5</v>
      </c>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c r="IX18" s="16"/>
      <c r="IY18" s="16"/>
      <c r="IZ18" s="16"/>
      <c r="JA18" s="16"/>
      <c r="JB18" s="16"/>
      <c r="JC18" s="16"/>
      <c r="JD18" s="16"/>
      <c r="JE18" s="16"/>
      <c r="JF18" s="16"/>
      <c r="JG18" s="16"/>
      <c r="JH18" s="16"/>
      <c r="JI18" s="16"/>
      <c r="JJ18" s="16"/>
      <c r="JK18" s="16"/>
      <c r="JL18" s="16"/>
      <c r="JM18" s="16"/>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6"/>
      <c r="KT18" s="16"/>
      <c r="KU18" s="16"/>
      <c r="KV18" s="16"/>
      <c r="KW18" s="16"/>
      <c r="KX18" s="16"/>
      <c r="KY18" s="16"/>
      <c r="KZ18" s="16"/>
      <c r="LA18" s="16"/>
      <c r="LB18" s="16"/>
      <c r="LC18" s="16"/>
      <c r="LD18" s="16"/>
      <c r="LE18" s="16"/>
      <c r="LF18" s="16"/>
      <c r="LG18" s="16"/>
      <c r="LH18" s="16"/>
      <c r="LI18" s="16"/>
      <c r="LJ18" s="16"/>
      <c r="LK18" s="63"/>
    </row>
    <row r="19" spans="2:358" s="3" customFormat="1" ht="42.6" customHeight="1" thickBot="1" x14ac:dyDescent="0.3">
      <c r="B19" s="19"/>
      <c r="C19" s="53" t="s">
        <v>33</v>
      </c>
      <c r="D19" s="28" t="s">
        <v>17</v>
      </c>
      <c r="E19" s="41">
        <f>F18+3</f>
        <v>45712</v>
      </c>
      <c r="F19" s="41">
        <f>E19+4</f>
        <v>45716</v>
      </c>
      <c r="G19" s="10"/>
      <c r="H19" s="10">
        <f t="shared" si="198"/>
        <v>5</v>
      </c>
      <c r="I19" s="16"/>
      <c r="J19" s="16"/>
      <c r="K19" s="16"/>
      <c r="L19" s="16"/>
      <c r="M19" s="16"/>
      <c r="N19" s="16"/>
      <c r="O19" s="16"/>
      <c r="P19" s="16"/>
      <c r="Q19" s="16"/>
      <c r="R19" s="16"/>
      <c r="S19" s="16"/>
      <c r="T19" s="16"/>
      <c r="U19" s="17"/>
      <c r="V19" s="17"/>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c r="JD19" s="16"/>
      <c r="JE19" s="16"/>
      <c r="JF19" s="16"/>
      <c r="JG19" s="16"/>
      <c r="JH19" s="16"/>
      <c r="JI19" s="16"/>
      <c r="JJ19" s="16"/>
      <c r="JK19" s="16"/>
      <c r="JL19" s="16"/>
      <c r="JM19" s="16"/>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6"/>
      <c r="KU19" s="16"/>
      <c r="KV19" s="16"/>
      <c r="KW19" s="16"/>
      <c r="KX19" s="16"/>
      <c r="KY19" s="16"/>
      <c r="KZ19" s="16"/>
      <c r="LA19" s="16"/>
      <c r="LB19" s="16"/>
      <c r="LC19" s="16"/>
      <c r="LD19" s="16"/>
      <c r="LE19" s="16"/>
      <c r="LF19" s="16"/>
      <c r="LG19" s="16"/>
      <c r="LH19" s="16"/>
      <c r="LI19" s="16"/>
      <c r="LJ19" s="16"/>
      <c r="LK19" s="63"/>
    </row>
    <row r="20" spans="2:358" s="3" customFormat="1" ht="30" customHeight="1" thickBot="1" x14ac:dyDescent="0.3">
      <c r="B20" s="19" t="s">
        <v>34</v>
      </c>
      <c r="C20" s="13" t="s">
        <v>35</v>
      </c>
      <c r="D20" s="29"/>
      <c r="E20" s="42"/>
      <c r="F20" s="43"/>
      <c r="G20" s="10"/>
      <c r="H20" s="10" t="str">
        <f t="shared" si="198"/>
        <v/>
      </c>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c r="KW20" s="16"/>
      <c r="KX20" s="16"/>
      <c r="KY20" s="16"/>
      <c r="KZ20" s="16"/>
      <c r="LA20" s="16"/>
      <c r="LB20" s="16"/>
      <c r="LC20" s="16"/>
      <c r="LD20" s="16"/>
      <c r="LE20" s="16"/>
      <c r="LF20" s="16"/>
      <c r="LG20" s="16"/>
      <c r="LH20" s="16"/>
      <c r="LI20" s="16"/>
      <c r="LJ20" s="16"/>
      <c r="LK20" s="63"/>
    </row>
    <row r="21" spans="2:358" s="3" customFormat="1" ht="30" customHeight="1" thickBot="1" x14ac:dyDescent="0.3">
      <c r="B21" s="19"/>
      <c r="C21" s="55" t="s">
        <v>36</v>
      </c>
      <c r="D21" s="30" t="s">
        <v>17</v>
      </c>
      <c r="E21" s="44">
        <f>F19+3</f>
        <v>45719</v>
      </c>
      <c r="F21" s="44">
        <f>E21+4</f>
        <v>45723</v>
      </c>
      <c r="G21" s="10"/>
      <c r="H21" s="10">
        <f t="shared" si="198"/>
        <v>5</v>
      </c>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63"/>
    </row>
    <row r="22" spans="2:358" s="3" customFormat="1" ht="30" customHeight="1" thickBot="1" x14ac:dyDescent="0.3">
      <c r="B22" s="19"/>
      <c r="C22" s="55" t="s">
        <v>37</v>
      </c>
      <c r="D22" s="30" t="s">
        <v>17</v>
      </c>
      <c r="E22" s="44">
        <f>F21+3</f>
        <v>45726</v>
      </c>
      <c r="F22" s="44">
        <f>E22+4</f>
        <v>45730</v>
      </c>
      <c r="G22" s="10"/>
      <c r="H22" s="10">
        <f t="shared" si="198"/>
        <v>5</v>
      </c>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63"/>
    </row>
    <row r="23" spans="2:358" s="3" customFormat="1" ht="30" customHeight="1" thickBot="1" x14ac:dyDescent="0.3">
      <c r="B23" s="19"/>
      <c r="C23" s="55" t="s">
        <v>38</v>
      </c>
      <c r="D23" s="30" t="s">
        <v>17</v>
      </c>
      <c r="E23" s="44">
        <f>F22+3</f>
        <v>45733</v>
      </c>
      <c r="F23" s="44">
        <f>E23+4</f>
        <v>45737</v>
      </c>
      <c r="G23" s="10"/>
      <c r="H23" s="10">
        <f t="shared" si="198"/>
        <v>5</v>
      </c>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63"/>
    </row>
    <row r="24" spans="2:358" s="3" customFormat="1" ht="30" customHeight="1" thickBot="1" x14ac:dyDescent="0.3">
      <c r="B24" s="19" t="s">
        <v>34</v>
      </c>
      <c r="C24" s="14" t="s">
        <v>39</v>
      </c>
      <c r="D24" s="31"/>
      <c r="E24" s="45"/>
      <c r="F24" s="46"/>
      <c r="G24" s="10"/>
      <c r="H24" s="10" t="str">
        <f t="shared" si="198"/>
        <v/>
      </c>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63"/>
    </row>
    <row r="25" spans="2:358" s="3" customFormat="1" ht="30" customHeight="1" thickBot="1" x14ac:dyDescent="0.3">
      <c r="B25" s="19"/>
      <c r="C25" s="56" t="s">
        <v>40</v>
      </c>
      <c r="D25" s="32" t="s">
        <v>17</v>
      </c>
      <c r="E25" s="47">
        <f>F23+3</f>
        <v>45740</v>
      </c>
      <c r="F25" s="47">
        <f>E25+4</f>
        <v>45744</v>
      </c>
      <c r="G25" s="10"/>
      <c r="H25" s="10">
        <f t="shared" si="198"/>
        <v>5</v>
      </c>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c r="KW25" s="16"/>
      <c r="KX25" s="16"/>
      <c r="KY25" s="16"/>
      <c r="KZ25" s="16"/>
      <c r="LA25" s="16"/>
      <c r="LB25" s="16"/>
      <c r="LC25" s="16"/>
      <c r="LD25" s="16"/>
      <c r="LE25" s="16"/>
      <c r="LF25" s="16"/>
      <c r="LG25" s="16"/>
      <c r="LH25" s="16"/>
      <c r="LI25" s="16"/>
      <c r="LJ25" s="16"/>
      <c r="LK25" s="63"/>
    </row>
    <row r="26" spans="2:358" s="3" customFormat="1" ht="30" customHeight="1" thickBot="1" x14ac:dyDescent="0.3">
      <c r="B26" s="19"/>
      <c r="C26" s="56" t="s">
        <v>41</v>
      </c>
      <c r="D26" s="32" t="s">
        <v>17</v>
      </c>
      <c r="E26" s="47">
        <f>F25+3</f>
        <v>45747</v>
      </c>
      <c r="F26" s="47">
        <f>E26+4</f>
        <v>45751</v>
      </c>
      <c r="G26" s="10"/>
      <c r="H26" s="10">
        <f t="shared" si="198"/>
        <v>5</v>
      </c>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63"/>
    </row>
    <row r="27" spans="2:358" s="3" customFormat="1" ht="30" customHeight="1" thickBot="1" x14ac:dyDescent="0.3">
      <c r="B27" s="19"/>
      <c r="C27" s="56" t="s">
        <v>42</v>
      </c>
      <c r="D27" s="32" t="s">
        <v>17</v>
      </c>
      <c r="E27" s="47">
        <f>F26+3</f>
        <v>45754</v>
      </c>
      <c r="F27" s="47">
        <f>E27+4</f>
        <v>45758</v>
      </c>
      <c r="G27" s="10"/>
      <c r="H27" s="10">
        <f t="shared" si="198"/>
        <v>5</v>
      </c>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c r="KW27" s="16"/>
      <c r="KX27" s="16"/>
      <c r="KY27" s="16"/>
      <c r="KZ27" s="16"/>
      <c r="LA27" s="16"/>
      <c r="LB27" s="16"/>
      <c r="LC27" s="16"/>
      <c r="LD27" s="16"/>
      <c r="LE27" s="16"/>
      <c r="LF27" s="16"/>
      <c r="LG27" s="16"/>
      <c r="LH27" s="16"/>
      <c r="LI27" s="16"/>
      <c r="LJ27" s="16"/>
      <c r="LK27" s="63"/>
    </row>
    <row r="28" spans="2:358" s="3" customFormat="1" ht="30" customHeight="1" thickBot="1" x14ac:dyDescent="0.3">
      <c r="B28" s="19"/>
      <c r="C28" s="56" t="s">
        <v>43</v>
      </c>
      <c r="D28" s="32" t="s">
        <v>44</v>
      </c>
      <c r="E28" s="47"/>
      <c r="F28" s="47"/>
      <c r="G28" s="10"/>
      <c r="H28" s="10"/>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66"/>
      <c r="CI28" s="66"/>
      <c r="CJ28" s="66"/>
      <c r="CK28" s="66"/>
      <c r="CL28" s="6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c r="KW28" s="16"/>
      <c r="KX28" s="16"/>
      <c r="KY28" s="16"/>
      <c r="KZ28" s="16"/>
      <c r="LA28" s="16"/>
      <c r="LB28" s="16"/>
      <c r="LC28" s="16"/>
      <c r="LD28" s="16"/>
      <c r="LE28" s="16"/>
      <c r="LF28" s="16"/>
      <c r="LG28" s="16"/>
      <c r="LH28" s="16"/>
      <c r="LI28" s="16"/>
      <c r="LJ28" s="16"/>
      <c r="LK28" s="63"/>
    </row>
    <row r="29" spans="2:358" s="3" customFormat="1" ht="30" customHeight="1" thickBot="1" x14ac:dyDescent="0.3">
      <c r="B29" s="19" t="s">
        <v>45</v>
      </c>
      <c r="C29" s="11" t="s">
        <v>46</v>
      </c>
      <c r="D29" s="25"/>
      <c r="E29" s="36"/>
      <c r="F29" s="37"/>
      <c r="G29" s="10"/>
      <c r="H29" s="10" t="str">
        <f t="shared" ref="H29:H41" si="199">IF(OR(ISBLANK(task_start),ISBLANK(task_end)),"",task_end-task_start+1)</f>
        <v/>
      </c>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c r="JD29" s="16"/>
      <c r="JE29" s="16"/>
      <c r="JF29" s="16"/>
      <c r="JG29" s="16"/>
      <c r="JH29" s="16"/>
      <c r="JI29" s="16"/>
      <c r="JJ29" s="16"/>
      <c r="JK29" s="16"/>
      <c r="JL29" s="16"/>
      <c r="JM29" s="16"/>
      <c r="JN29" s="16"/>
      <c r="JO29" s="16"/>
      <c r="JP29" s="16"/>
      <c r="JQ29" s="16"/>
      <c r="JR29" s="16"/>
      <c r="JS29" s="16"/>
      <c r="JT29" s="16"/>
      <c r="JU29" s="16"/>
      <c r="JV29" s="16"/>
      <c r="JW29" s="16"/>
      <c r="JX29" s="16"/>
      <c r="JY29" s="16"/>
      <c r="JZ29" s="16"/>
      <c r="KA29" s="16"/>
      <c r="KB29" s="16"/>
      <c r="KC29" s="16"/>
      <c r="KD29" s="16"/>
      <c r="KE29" s="16"/>
      <c r="KF29" s="16"/>
      <c r="KG29" s="16"/>
      <c r="KH29" s="16"/>
      <c r="KI29" s="16"/>
      <c r="KJ29" s="16"/>
      <c r="KK29" s="16"/>
      <c r="KL29" s="16"/>
      <c r="KM29" s="16"/>
      <c r="KN29" s="16"/>
      <c r="KO29" s="16"/>
      <c r="KP29" s="16"/>
      <c r="KQ29" s="16"/>
      <c r="KR29" s="16"/>
      <c r="KS29" s="16"/>
      <c r="KT29" s="16"/>
      <c r="KU29" s="16"/>
      <c r="KV29" s="16"/>
      <c r="KW29" s="16"/>
      <c r="KX29" s="16"/>
      <c r="KY29" s="16"/>
      <c r="KZ29" s="16"/>
      <c r="LA29" s="16"/>
      <c r="LB29" s="16"/>
      <c r="LC29" s="16"/>
      <c r="LD29" s="16"/>
      <c r="LE29" s="16"/>
      <c r="LF29" s="16"/>
      <c r="LG29" s="16"/>
      <c r="LH29" s="16"/>
      <c r="LI29" s="16"/>
      <c r="LJ29" s="16"/>
      <c r="LK29" s="63"/>
    </row>
    <row r="30" spans="2:358" s="3" customFormat="1" ht="30" customHeight="1" thickBot="1" x14ac:dyDescent="0.3">
      <c r="B30" s="20" t="s">
        <v>47</v>
      </c>
      <c r="C30" s="52" t="s">
        <v>48</v>
      </c>
      <c r="D30" s="26" t="s">
        <v>17</v>
      </c>
      <c r="E30" s="38">
        <f>F27+10</f>
        <v>45768</v>
      </c>
      <c r="F30" s="38">
        <f>E30+4</f>
        <v>45772</v>
      </c>
      <c r="G30" s="10"/>
      <c r="H30" s="10">
        <f t="shared" si="199"/>
        <v>5</v>
      </c>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6"/>
      <c r="IY30" s="16"/>
      <c r="IZ30" s="16"/>
      <c r="JA30" s="16"/>
      <c r="JB30" s="16"/>
      <c r="JC30" s="16"/>
      <c r="JD30" s="16"/>
      <c r="JE30" s="16"/>
      <c r="JF30" s="16"/>
      <c r="JG30" s="16"/>
      <c r="JH30" s="16"/>
      <c r="JI30" s="16"/>
      <c r="JJ30" s="16"/>
      <c r="JK30" s="16"/>
      <c r="JL30" s="16"/>
      <c r="JM30" s="16"/>
      <c r="JN30" s="16"/>
      <c r="JO30" s="16"/>
      <c r="JP30" s="16"/>
      <c r="JQ30" s="16"/>
      <c r="JR30" s="16"/>
      <c r="JS30" s="16"/>
      <c r="JT30" s="16"/>
      <c r="JU30" s="16"/>
      <c r="JV30" s="16"/>
      <c r="JW30" s="16"/>
      <c r="JX30" s="16"/>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c r="KW30" s="16"/>
      <c r="KX30" s="16"/>
      <c r="KY30" s="16"/>
      <c r="KZ30" s="16"/>
      <c r="LA30" s="16"/>
      <c r="LB30" s="16"/>
      <c r="LC30" s="16"/>
      <c r="LD30" s="16"/>
      <c r="LE30" s="16"/>
      <c r="LF30" s="16"/>
      <c r="LG30" s="16"/>
      <c r="LH30" s="16"/>
      <c r="LI30" s="16"/>
      <c r="LJ30" s="16"/>
      <c r="LK30" s="63"/>
    </row>
    <row r="31" spans="2:358" ht="30" customHeight="1" thickBot="1" x14ac:dyDescent="0.3">
      <c r="C31" s="52" t="s">
        <v>49</v>
      </c>
      <c r="D31" s="26" t="s">
        <v>17</v>
      </c>
      <c r="E31" s="38">
        <f>F30+3</f>
        <v>45775</v>
      </c>
      <c r="F31" s="38">
        <f>E31+4</f>
        <v>45779</v>
      </c>
      <c r="G31" s="10"/>
      <c r="H31" s="10">
        <f t="shared" si="199"/>
        <v>5</v>
      </c>
      <c r="I31" s="16"/>
      <c r="J31" s="16"/>
      <c r="K31" s="16"/>
      <c r="L31" s="16"/>
      <c r="M31" s="16"/>
      <c r="N31" s="16"/>
      <c r="O31" s="16"/>
      <c r="P31" s="16"/>
      <c r="Q31" s="16"/>
      <c r="R31" s="16"/>
      <c r="S31" s="16"/>
      <c r="T31" s="16"/>
      <c r="U31" s="17"/>
      <c r="V31" s="17"/>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c r="HV31" s="16"/>
      <c r="HW31" s="16"/>
      <c r="HX31" s="16"/>
      <c r="HY31" s="16"/>
      <c r="HZ31" s="16"/>
      <c r="IA31" s="16"/>
      <c r="IB31" s="16"/>
      <c r="IC31" s="16"/>
      <c r="ID31" s="16"/>
      <c r="IE31" s="16"/>
      <c r="IF31" s="16"/>
      <c r="IG31" s="16"/>
      <c r="IH31" s="16"/>
      <c r="II31" s="16"/>
      <c r="IJ31" s="16"/>
      <c r="IK31" s="16"/>
      <c r="IL31" s="16"/>
      <c r="IM31" s="16"/>
      <c r="IN31" s="16"/>
      <c r="IO31" s="16"/>
      <c r="IP31" s="16"/>
      <c r="IQ31" s="16"/>
      <c r="IR31" s="16"/>
      <c r="IS31" s="16"/>
      <c r="IT31" s="16"/>
      <c r="IU31" s="16"/>
      <c r="IV31" s="16"/>
      <c r="IW31" s="16"/>
      <c r="IX31" s="16"/>
      <c r="IY31" s="16"/>
      <c r="IZ31" s="16"/>
      <c r="JA31" s="16"/>
      <c r="JB31" s="16"/>
      <c r="JC31" s="16"/>
      <c r="JD31" s="16"/>
      <c r="JE31" s="16"/>
      <c r="JF31" s="16"/>
      <c r="JG31" s="16"/>
      <c r="JH31" s="16"/>
      <c r="JI31" s="16"/>
      <c r="JJ31" s="16"/>
      <c r="JK31" s="16"/>
      <c r="JL31" s="16"/>
      <c r="JM31" s="16"/>
      <c r="JN31" s="16"/>
      <c r="JO31" s="16"/>
      <c r="JP31" s="16"/>
      <c r="JQ31" s="16"/>
      <c r="JR31" s="16"/>
      <c r="JS31" s="16"/>
      <c r="JT31" s="16"/>
      <c r="JU31" s="16"/>
      <c r="JV31" s="16"/>
      <c r="JW31" s="16"/>
      <c r="JX31" s="16"/>
      <c r="JY31" s="16"/>
      <c r="JZ31" s="16"/>
      <c r="KA31" s="16"/>
      <c r="KB31" s="16"/>
      <c r="KC31" s="16"/>
      <c r="KD31" s="16"/>
      <c r="KE31" s="16"/>
      <c r="KF31" s="16"/>
      <c r="KG31" s="16"/>
      <c r="KH31" s="16"/>
      <c r="KI31" s="16"/>
      <c r="KJ31" s="16"/>
      <c r="KK31" s="16"/>
      <c r="KL31" s="16"/>
      <c r="KM31" s="16"/>
      <c r="KN31" s="16"/>
      <c r="KO31" s="16"/>
      <c r="KP31" s="16"/>
      <c r="KQ31" s="16"/>
      <c r="KR31" s="16"/>
      <c r="KS31" s="16"/>
      <c r="KT31" s="16"/>
      <c r="KU31" s="16"/>
      <c r="KV31" s="16"/>
      <c r="KW31" s="16"/>
      <c r="KX31" s="16"/>
      <c r="KY31" s="16"/>
      <c r="KZ31" s="16"/>
      <c r="LA31" s="16"/>
      <c r="LB31" s="16"/>
      <c r="LC31" s="16"/>
      <c r="LD31" s="16"/>
      <c r="LE31" s="16"/>
      <c r="LF31" s="16"/>
      <c r="LG31" s="16"/>
      <c r="LH31" s="16"/>
      <c r="LI31" s="16"/>
      <c r="LJ31" s="16"/>
      <c r="LK31" s="6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row>
    <row r="32" spans="2:358" ht="30" customHeight="1" thickBot="1" x14ac:dyDescent="0.3">
      <c r="C32" s="12" t="s">
        <v>50</v>
      </c>
      <c r="D32" s="27"/>
      <c r="E32" s="39"/>
      <c r="F32" s="40"/>
      <c r="G32" s="10"/>
      <c r="H32" s="10" t="str">
        <f t="shared" si="199"/>
        <v/>
      </c>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c r="HU32" s="16"/>
      <c r="HV32" s="16"/>
      <c r="HW32" s="16"/>
      <c r="HX32" s="16"/>
      <c r="HY32" s="16"/>
      <c r="HZ32" s="16"/>
      <c r="IA32" s="16"/>
      <c r="IB32" s="16"/>
      <c r="IC32" s="16"/>
      <c r="ID32" s="16"/>
      <c r="IE32" s="16"/>
      <c r="IF32" s="16"/>
      <c r="IG32" s="16"/>
      <c r="IH32" s="16"/>
      <c r="II32" s="16"/>
      <c r="IJ32" s="16"/>
      <c r="IK32" s="16"/>
      <c r="IL32" s="16"/>
      <c r="IM32" s="16"/>
      <c r="IN32" s="16"/>
      <c r="IO32" s="16"/>
      <c r="IP32" s="16"/>
      <c r="IQ32" s="16"/>
      <c r="IR32" s="16"/>
      <c r="IS32" s="16"/>
      <c r="IT32" s="16"/>
      <c r="IU32" s="16"/>
      <c r="IV32" s="16"/>
      <c r="IW32" s="16"/>
      <c r="IX32" s="16"/>
      <c r="IY32" s="16"/>
      <c r="IZ32" s="16"/>
      <c r="JA32" s="16"/>
      <c r="JB32" s="16"/>
      <c r="JC32" s="16"/>
      <c r="JD32" s="16"/>
      <c r="JE32" s="16"/>
      <c r="JF32" s="16"/>
      <c r="JG32" s="16"/>
      <c r="JH32" s="16"/>
      <c r="JI32" s="16"/>
      <c r="JJ32" s="16"/>
      <c r="JK32" s="16"/>
      <c r="JL32" s="16"/>
      <c r="JM32" s="16"/>
      <c r="JN32" s="16"/>
      <c r="JO32" s="16"/>
      <c r="JP32" s="16"/>
      <c r="JQ32" s="16"/>
      <c r="JR32" s="16"/>
      <c r="JS32" s="16"/>
      <c r="JT32" s="16"/>
      <c r="JU32" s="16"/>
      <c r="JV32" s="16"/>
      <c r="JW32" s="16"/>
      <c r="JX32" s="16"/>
      <c r="JY32" s="16"/>
      <c r="JZ32" s="16"/>
      <c r="KA32" s="16"/>
      <c r="KB32" s="16"/>
      <c r="KC32" s="16"/>
      <c r="KD32" s="16"/>
      <c r="KE32" s="16"/>
      <c r="KF32" s="16"/>
      <c r="KG32" s="16"/>
      <c r="KH32" s="16"/>
      <c r="KI32" s="16"/>
      <c r="KJ32" s="16"/>
      <c r="KK32" s="16"/>
      <c r="KL32" s="16"/>
      <c r="KM32" s="16"/>
      <c r="KN32" s="16"/>
      <c r="KO32" s="16"/>
      <c r="KP32" s="16"/>
      <c r="KQ32" s="16"/>
      <c r="KR32" s="16"/>
      <c r="KS32" s="16"/>
      <c r="KT32" s="16"/>
      <c r="KU32" s="16"/>
      <c r="KV32" s="16"/>
      <c r="KW32" s="16"/>
      <c r="KX32" s="16"/>
      <c r="KY32" s="16"/>
      <c r="KZ32" s="16"/>
      <c r="LA32" s="16"/>
      <c r="LB32" s="16"/>
      <c r="LC32" s="16"/>
      <c r="LD32" s="16"/>
      <c r="LE32" s="16"/>
      <c r="LF32" s="16"/>
      <c r="LG32" s="16"/>
      <c r="LH32" s="16"/>
      <c r="LI32" s="16"/>
      <c r="LJ32" s="16"/>
      <c r="LK32" s="6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row>
    <row r="33" spans="3:358" ht="39.6" customHeight="1" thickBot="1" x14ac:dyDescent="0.3">
      <c r="C33" s="53" t="s">
        <v>51</v>
      </c>
      <c r="D33" s="28" t="s">
        <v>17</v>
      </c>
      <c r="E33" s="41">
        <f>F31+3</f>
        <v>45782</v>
      </c>
      <c r="F33" s="41">
        <f>E33+4</f>
        <v>45786</v>
      </c>
      <c r="G33" s="10"/>
      <c r="H33" s="10">
        <f t="shared" si="199"/>
        <v>5</v>
      </c>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6"/>
      <c r="IE33" s="16"/>
      <c r="IF33" s="16"/>
      <c r="IG33" s="16"/>
      <c r="IH33" s="16"/>
      <c r="II33" s="16"/>
      <c r="IJ33" s="16"/>
      <c r="IK33" s="16"/>
      <c r="IL33" s="16"/>
      <c r="IM33" s="16"/>
      <c r="IN33" s="16"/>
      <c r="IO33" s="16"/>
      <c r="IP33" s="16"/>
      <c r="IQ33" s="16"/>
      <c r="IR33" s="16"/>
      <c r="IS33" s="16"/>
      <c r="IT33" s="16"/>
      <c r="IU33" s="16"/>
      <c r="IV33" s="16"/>
      <c r="IW33" s="16"/>
      <c r="IX33" s="16"/>
      <c r="IY33" s="16"/>
      <c r="IZ33" s="16"/>
      <c r="JA33" s="16"/>
      <c r="JB33" s="16"/>
      <c r="JC33" s="16"/>
      <c r="JD33" s="16"/>
      <c r="JE33" s="16"/>
      <c r="JF33" s="16"/>
      <c r="JG33" s="16"/>
      <c r="JH33" s="16"/>
      <c r="JI33" s="16"/>
      <c r="JJ33" s="16"/>
      <c r="JK33" s="16"/>
      <c r="JL33" s="16"/>
      <c r="JM33" s="16"/>
      <c r="JN33" s="16"/>
      <c r="JO33" s="16"/>
      <c r="JP33" s="16"/>
      <c r="JQ33" s="16"/>
      <c r="JR33" s="16"/>
      <c r="JS33" s="16"/>
      <c r="JT33" s="16"/>
      <c r="JU33" s="16"/>
      <c r="JV33" s="16"/>
      <c r="JW33" s="16"/>
      <c r="JX33" s="16"/>
      <c r="JY33" s="16"/>
      <c r="JZ33" s="16"/>
      <c r="KA33" s="16"/>
      <c r="KB33" s="16"/>
      <c r="KC33" s="16"/>
      <c r="KD33" s="16"/>
      <c r="KE33" s="16"/>
      <c r="KF33" s="16"/>
      <c r="KG33" s="16"/>
      <c r="KH33" s="16"/>
      <c r="KI33" s="16"/>
      <c r="KJ33" s="16"/>
      <c r="KK33" s="16"/>
      <c r="KL33" s="16"/>
      <c r="KM33" s="16"/>
      <c r="KN33" s="16"/>
      <c r="KO33" s="16"/>
      <c r="KP33" s="16"/>
      <c r="KQ33" s="16"/>
      <c r="KR33" s="16"/>
      <c r="KS33" s="16"/>
      <c r="KT33" s="16"/>
      <c r="KU33" s="16"/>
      <c r="KV33" s="16"/>
      <c r="KW33" s="16"/>
      <c r="KX33" s="16"/>
      <c r="KY33" s="16"/>
      <c r="KZ33" s="16"/>
      <c r="LA33" s="16"/>
      <c r="LB33" s="16"/>
      <c r="LC33" s="16"/>
      <c r="LD33" s="16"/>
      <c r="LE33" s="16"/>
      <c r="LF33" s="16"/>
      <c r="LG33" s="16"/>
      <c r="LH33" s="16"/>
      <c r="LI33" s="16"/>
      <c r="LJ33" s="16"/>
      <c r="LK33" s="6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row>
    <row r="34" spans="3:358" ht="39" customHeight="1" thickBot="1" x14ac:dyDescent="0.3">
      <c r="C34" s="53" t="s">
        <v>52</v>
      </c>
      <c r="D34" s="28" t="s">
        <v>17</v>
      </c>
      <c r="E34" s="41">
        <f>F33+3</f>
        <v>45789</v>
      </c>
      <c r="F34" s="41">
        <f>E34+4</f>
        <v>45793</v>
      </c>
      <c r="G34" s="10"/>
      <c r="H34" s="10">
        <f t="shared" si="199"/>
        <v>5</v>
      </c>
      <c r="I34" s="16"/>
      <c r="J34" s="16"/>
      <c r="K34" s="16"/>
      <c r="L34" s="16"/>
      <c r="M34" s="16"/>
      <c r="N34" s="16"/>
      <c r="O34" s="16"/>
      <c r="P34" s="16"/>
      <c r="Q34" s="16"/>
      <c r="R34" s="16"/>
      <c r="S34" s="16"/>
      <c r="T34" s="16"/>
      <c r="U34" s="17"/>
      <c r="V34" s="17"/>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c r="GP34" s="16"/>
      <c r="GQ34" s="16"/>
      <c r="GR34" s="16"/>
      <c r="GS34" s="16"/>
      <c r="GT34" s="16"/>
      <c r="GU34" s="16"/>
      <c r="GV34" s="16"/>
      <c r="GW34" s="16"/>
      <c r="GX34" s="16"/>
      <c r="GY34" s="16"/>
      <c r="GZ34" s="16"/>
      <c r="HA34" s="16"/>
      <c r="HB34" s="16"/>
      <c r="HC34" s="16"/>
      <c r="HD34" s="16"/>
      <c r="HE34" s="16"/>
      <c r="HF34" s="16"/>
      <c r="HG34" s="16"/>
      <c r="HH34" s="16"/>
      <c r="HI34" s="16"/>
      <c r="HJ34" s="16"/>
      <c r="HK34" s="16"/>
      <c r="HL34" s="16"/>
      <c r="HM34" s="16"/>
      <c r="HN34" s="16"/>
      <c r="HO34" s="16"/>
      <c r="HP34" s="16"/>
      <c r="HQ34" s="16"/>
      <c r="HR34" s="16"/>
      <c r="HS34" s="16"/>
      <c r="HT34" s="16"/>
      <c r="HU34" s="16"/>
      <c r="HV34" s="16"/>
      <c r="HW34" s="16"/>
      <c r="HX34" s="16"/>
      <c r="HY34" s="16"/>
      <c r="HZ34" s="16"/>
      <c r="IA34" s="16"/>
      <c r="IB34" s="16"/>
      <c r="IC34" s="16"/>
      <c r="ID34" s="16"/>
      <c r="IE34" s="16"/>
      <c r="IF34" s="16"/>
      <c r="IG34" s="16"/>
      <c r="IH34" s="16"/>
      <c r="II34" s="16"/>
      <c r="IJ34" s="16"/>
      <c r="IK34" s="16"/>
      <c r="IL34" s="16"/>
      <c r="IM34" s="16"/>
      <c r="IN34" s="16"/>
      <c r="IO34" s="16"/>
      <c r="IP34" s="16"/>
      <c r="IQ34" s="16"/>
      <c r="IR34" s="16"/>
      <c r="IS34" s="16"/>
      <c r="IT34" s="16"/>
      <c r="IU34" s="16"/>
      <c r="IV34" s="16"/>
      <c r="IW34" s="16"/>
      <c r="IX34" s="16"/>
      <c r="IY34" s="16"/>
      <c r="IZ34" s="16"/>
      <c r="JA34" s="16"/>
      <c r="JB34" s="16"/>
      <c r="JC34" s="16"/>
      <c r="JD34" s="16"/>
      <c r="JE34" s="16"/>
      <c r="JF34" s="16"/>
      <c r="JG34" s="16"/>
      <c r="JH34" s="16"/>
      <c r="JI34" s="16"/>
      <c r="JJ34" s="16"/>
      <c r="JK34" s="16"/>
      <c r="JL34" s="16"/>
      <c r="JM34" s="16"/>
      <c r="JN34" s="16"/>
      <c r="JO34" s="16"/>
      <c r="JP34" s="16"/>
      <c r="JQ34" s="16"/>
      <c r="JR34" s="16"/>
      <c r="JS34" s="16"/>
      <c r="JT34" s="16"/>
      <c r="JU34" s="16"/>
      <c r="JV34" s="16"/>
      <c r="JW34" s="16"/>
      <c r="JX34" s="16"/>
      <c r="JY34" s="16"/>
      <c r="JZ34" s="16"/>
      <c r="KA34" s="16"/>
      <c r="KB34" s="16"/>
      <c r="KC34" s="16"/>
      <c r="KD34" s="16"/>
      <c r="KE34" s="16"/>
      <c r="KF34" s="16"/>
      <c r="KG34" s="16"/>
      <c r="KH34" s="16"/>
      <c r="KI34" s="16"/>
      <c r="KJ34" s="16"/>
      <c r="KK34" s="16"/>
      <c r="KL34" s="16"/>
      <c r="KM34" s="16"/>
      <c r="KN34" s="16"/>
      <c r="KO34" s="16"/>
      <c r="KP34" s="16"/>
      <c r="KQ34" s="16"/>
      <c r="KR34" s="16"/>
      <c r="KS34" s="16"/>
      <c r="KT34" s="16"/>
      <c r="KU34" s="16"/>
      <c r="KV34" s="16"/>
      <c r="KW34" s="16"/>
      <c r="KX34" s="16"/>
      <c r="KY34" s="16"/>
      <c r="KZ34" s="16"/>
      <c r="LA34" s="16"/>
      <c r="LB34" s="16"/>
      <c r="LC34" s="16"/>
      <c r="LD34" s="16"/>
      <c r="LE34" s="16"/>
      <c r="LF34" s="16"/>
      <c r="LG34" s="16"/>
      <c r="LH34" s="16"/>
      <c r="LI34" s="16"/>
      <c r="LJ34" s="16"/>
      <c r="LK34" s="6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row>
    <row r="35" spans="3:358" ht="30" customHeight="1" thickBot="1" x14ac:dyDescent="0.3">
      <c r="C35" s="13" t="s">
        <v>53</v>
      </c>
      <c r="D35" s="29"/>
      <c r="E35" s="42"/>
      <c r="F35" s="43"/>
      <c r="G35" s="10"/>
      <c r="H35" s="10" t="str">
        <f t="shared" si="199"/>
        <v/>
      </c>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6"/>
      <c r="IE35" s="16"/>
      <c r="IF35" s="16"/>
      <c r="IG35" s="16"/>
      <c r="IH35" s="16"/>
      <c r="II35" s="16"/>
      <c r="IJ35" s="16"/>
      <c r="IK35" s="16"/>
      <c r="IL35" s="16"/>
      <c r="IM35" s="16"/>
      <c r="IN35" s="16"/>
      <c r="IO35" s="16"/>
      <c r="IP35" s="16"/>
      <c r="IQ35" s="16"/>
      <c r="IR35" s="16"/>
      <c r="IS35" s="16"/>
      <c r="IT35" s="16"/>
      <c r="IU35" s="16"/>
      <c r="IV35" s="16"/>
      <c r="IW35" s="16"/>
      <c r="IX35" s="16"/>
      <c r="IY35" s="16"/>
      <c r="IZ35" s="16"/>
      <c r="JA35" s="16"/>
      <c r="JB35" s="16"/>
      <c r="JC35" s="16"/>
      <c r="JD35" s="16"/>
      <c r="JE35" s="16"/>
      <c r="JF35" s="16"/>
      <c r="JG35" s="16"/>
      <c r="JH35" s="16"/>
      <c r="JI35" s="16"/>
      <c r="JJ35" s="16"/>
      <c r="JK35" s="16"/>
      <c r="JL35" s="16"/>
      <c r="JM35" s="16"/>
      <c r="JN35" s="16"/>
      <c r="JO35" s="16"/>
      <c r="JP35" s="16"/>
      <c r="JQ35" s="16"/>
      <c r="JR35" s="16"/>
      <c r="JS35" s="16"/>
      <c r="JT35" s="16"/>
      <c r="JU35" s="16"/>
      <c r="JV35" s="16"/>
      <c r="JW35" s="16"/>
      <c r="JX35" s="16"/>
      <c r="JY35" s="16"/>
      <c r="JZ35" s="16"/>
      <c r="KA35" s="16"/>
      <c r="KB35" s="16"/>
      <c r="KC35" s="16"/>
      <c r="KD35" s="16"/>
      <c r="KE35" s="16"/>
      <c r="KF35" s="16"/>
      <c r="KG35" s="16"/>
      <c r="KH35" s="16"/>
      <c r="KI35" s="16"/>
      <c r="KJ35" s="16"/>
      <c r="KK35" s="16"/>
      <c r="KL35" s="16"/>
      <c r="KM35" s="16"/>
      <c r="KN35" s="16"/>
      <c r="KO35" s="16"/>
      <c r="KP35" s="16"/>
      <c r="KQ35" s="16"/>
      <c r="KR35" s="16"/>
      <c r="KS35" s="16"/>
      <c r="KT35" s="16"/>
      <c r="KU35" s="16"/>
      <c r="KV35" s="16"/>
      <c r="KW35" s="16"/>
      <c r="KX35" s="16"/>
      <c r="KY35" s="16"/>
      <c r="KZ35" s="16"/>
      <c r="LA35" s="16"/>
      <c r="LB35" s="16"/>
      <c r="LC35" s="16"/>
      <c r="LD35" s="16"/>
      <c r="LE35" s="16"/>
      <c r="LF35" s="16"/>
      <c r="LG35" s="16"/>
      <c r="LH35" s="16"/>
      <c r="LI35" s="16"/>
      <c r="LJ35" s="16"/>
      <c r="LK35" s="6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row>
    <row r="36" spans="3:358" ht="30" customHeight="1" thickBot="1" x14ac:dyDescent="0.3">
      <c r="C36" s="54" t="s">
        <v>54</v>
      </c>
      <c r="D36" s="30" t="s">
        <v>17</v>
      </c>
      <c r="E36" s="44">
        <f>F34+3</f>
        <v>45796</v>
      </c>
      <c r="F36" s="44">
        <f>E36+4</f>
        <v>45800</v>
      </c>
      <c r="G36" s="10"/>
      <c r="H36" s="10">
        <f t="shared" si="199"/>
        <v>5</v>
      </c>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c r="GP36" s="16"/>
      <c r="GQ36" s="16"/>
      <c r="GR36" s="16"/>
      <c r="GS36" s="16"/>
      <c r="GT36" s="16"/>
      <c r="GU36" s="16"/>
      <c r="GV36" s="16"/>
      <c r="GW36" s="16"/>
      <c r="GX36" s="16"/>
      <c r="GY36" s="16"/>
      <c r="GZ36" s="16"/>
      <c r="HA36" s="16"/>
      <c r="HB36" s="16"/>
      <c r="HC36" s="16"/>
      <c r="HD36" s="16"/>
      <c r="HE36" s="16"/>
      <c r="HF36" s="16"/>
      <c r="HG36" s="16"/>
      <c r="HH36" s="16"/>
      <c r="HI36" s="16"/>
      <c r="HJ36" s="16"/>
      <c r="HK36" s="16"/>
      <c r="HL36" s="16"/>
      <c r="HM36" s="16"/>
      <c r="HN36" s="16"/>
      <c r="HO36" s="16"/>
      <c r="HP36" s="16"/>
      <c r="HQ36" s="16"/>
      <c r="HR36" s="16"/>
      <c r="HS36" s="16"/>
      <c r="HT36" s="16"/>
      <c r="HU36" s="16"/>
      <c r="HV36" s="16"/>
      <c r="HW36" s="16"/>
      <c r="HX36" s="16"/>
      <c r="HY36" s="16"/>
      <c r="HZ36" s="16"/>
      <c r="IA36" s="16"/>
      <c r="IB36" s="16"/>
      <c r="IC36" s="16"/>
      <c r="ID36" s="16"/>
      <c r="IE36" s="16"/>
      <c r="IF36" s="16"/>
      <c r="IG36" s="16"/>
      <c r="IH36" s="16"/>
      <c r="II36" s="16"/>
      <c r="IJ36" s="16"/>
      <c r="IK36" s="16"/>
      <c r="IL36" s="16"/>
      <c r="IM36" s="16"/>
      <c r="IN36" s="16"/>
      <c r="IO36" s="16"/>
      <c r="IP36" s="16"/>
      <c r="IQ36" s="16"/>
      <c r="IR36" s="16"/>
      <c r="IS36" s="16"/>
      <c r="IT36" s="16"/>
      <c r="IU36" s="16"/>
      <c r="IV36" s="16"/>
      <c r="IW36" s="16"/>
      <c r="IX36" s="16"/>
      <c r="IY36" s="16"/>
      <c r="IZ36" s="16"/>
      <c r="JA36" s="16"/>
      <c r="JB36" s="16"/>
      <c r="JC36" s="16"/>
      <c r="JD36" s="16"/>
      <c r="JE36" s="16"/>
      <c r="JF36" s="16"/>
      <c r="JG36" s="16"/>
      <c r="JH36" s="16"/>
      <c r="JI36" s="16"/>
      <c r="JJ36" s="16"/>
      <c r="JK36" s="16"/>
      <c r="JL36" s="16"/>
      <c r="JM36" s="16"/>
      <c r="JN36" s="16"/>
      <c r="JO36" s="16"/>
      <c r="JP36" s="16"/>
      <c r="JQ36" s="16"/>
      <c r="JR36" s="16"/>
      <c r="JS36" s="16"/>
      <c r="JT36" s="16"/>
      <c r="JU36" s="16"/>
      <c r="JV36" s="16"/>
      <c r="JW36" s="16"/>
      <c r="JX36" s="16"/>
      <c r="JY36" s="16"/>
      <c r="JZ36" s="16"/>
      <c r="KA36" s="16"/>
      <c r="KB36" s="16"/>
      <c r="KC36" s="16"/>
      <c r="KD36" s="16"/>
      <c r="KE36" s="16"/>
      <c r="KF36" s="16"/>
      <c r="KG36" s="16"/>
      <c r="KH36" s="16"/>
      <c r="KI36" s="16"/>
      <c r="KJ36" s="16"/>
      <c r="KK36" s="16"/>
      <c r="KL36" s="16"/>
      <c r="KM36" s="16"/>
      <c r="KN36" s="16"/>
      <c r="KO36" s="16"/>
      <c r="KP36" s="16"/>
      <c r="KQ36" s="16"/>
      <c r="KR36" s="16"/>
      <c r="KS36" s="16"/>
      <c r="KT36" s="16"/>
      <c r="KU36" s="16"/>
      <c r="KV36" s="16"/>
      <c r="KW36" s="16"/>
      <c r="KX36" s="16"/>
      <c r="KY36" s="16"/>
      <c r="KZ36" s="16"/>
      <c r="LA36" s="16"/>
      <c r="LB36" s="16"/>
      <c r="LC36" s="16"/>
      <c r="LD36" s="16"/>
      <c r="LE36" s="16"/>
      <c r="LF36" s="16"/>
      <c r="LG36" s="16"/>
      <c r="LH36" s="16"/>
      <c r="LI36" s="16"/>
      <c r="LJ36" s="16"/>
      <c r="LK36" s="6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row>
    <row r="37" spans="3:358" ht="30" customHeight="1" thickBot="1" x14ac:dyDescent="0.3">
      <c r="C37" s="54" t="s">
        <v>55</v>
      </c>
      <c r="D37" s="30" t="s">
        <v>17</v>
      </c>
      <c r="E37" s="44">
        <f>F34+3</f>
        <v>45796</v>
      </c>
      <c r="F37" s="44">
        <f>E37+4</f>
        <v>45800</v>
      </c>
      <c r="G37" s="10"/>
      <c r="H37" s="10">
        <f t="shared" si="199"/>
        <v>5</v>
      </c>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6"/>
      <c r="IE37" s="16"/>
      <c r="IF37" s="16"/>
      <c r="IG37" s="16"/>
      <c r="IH37" s="16"/>
      <c r="II37" s="16"/>
      <c r="IJ37" s="16"/>
      <c r="IK37" s="16"/>
      <c r="IL37" s="16"/>
      <c r="IM37" s="16"/>
      <c r="IN37" s="16"/>
      <c r="IO37" s="16"/>
      <c r="IP37" s="16"/>
      <c r="IQ37" s="16"/>
      <c r="IR37" s="16"/>
      <c r="IS37" s="16"/>
      <c r="IT37" s="16"/>
      <c r="IU37" s="16"/>
      <c r="IV37" s="16"/>
      <c r="IW37" s="16"/>
      <c r="IX37" s="16"/>
      <c r="IY37" s="16"/>
      <c r="IZ37" s="16"/>
      <c r="JA37" s="16"/>
      <c r="JB37" s="16"/>
      <c r="JC37" s="16"/>
      <c r="JD37" s="16"/>
      <c r="JE37" s="16"/>
      <c r="JF37" s="16"/>
      <c r="JG37" s="16"/>
      <c r="JH37" s="16"/>
      <c r="JI37" s="16"/>
      <c r="JJ37" s="16"/>
      <c r="JK37" s="16"/>
      <c r="JL37" s="16"/>
      <c r="JM37" s="16"/>
      <c r="JN37" s="16"/>
      <c r="JO37" s="16"/>
      <c r="JP37" s="16"/>
      <c r="JQ37" s="16"/>
      <c r="JR37" s="16"/>
      <c r="JS37" s="16"/>
      <c r="JT37" s="16"/>
      <c r="JU37" s="16"/>
      <c r="JV37" s="16"/>
      <c r="JW37" s="16"/>
      <c r="JX37" s="16"/>
      <c r="JY37" s="16"/>
      <c r="JZ37" s="16"/>
      <c r="KA37" s="16"/>
      <c r="KB37" s="16"/>
      <c r="KC37" s="16"/>
      <c r="KD37" s="16"/>
      <c r="KE37" s="16"/>
      <c r="KF37" s="16"/>
      <c r="KG37" s="16"/>
      <c r="KH37" s="16"/>
      <c r="KI37" s="16"/>
      <c r="KJ37" s="16"/>
      <c r="KK37" s="16"/>
      <c r="KL37" s="16"/>
      <c r="KM37" s="16"/>
      <c r="KN37" s="16"/>
      <c r="KO37" s="16"/>
      <c r="KP37" s="16"/>
      <c r="KQ37" s="16"/>
      <c r="KR37" s="16"/>
      <c r="KS37" s="16"/>
      <c r="KT37" s="16"/>
      <c r="KU37" s="16"/>
      <c r="KV37" s="16"/>
      <c r="KW37" s="16"/>
      <c r="KX37" s="16"/>
      <c r="KY37" s="16"/>
      <c r="KZ37" s="16"/>
      <c r="LA37" s="16"/>
      <c r="LB37" s="16"/>
      <c r="LC37" s="16"/>
      <c r="LD37" s="16"/>
      <c r="LE37" s="16"/>
      <c r="LF37" s="16"/>
      <c r="LG37" s="16"/>
      <c r="LH37" s="16"/>
      <c r="LI37" s="16"/>
      <c r="LJ37" s="16"/>
      <c r="LK37" s="6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row>
    <row r="38" spans="3:358" ht="30" customHeight="1" thickBot="1" x14ac:dyDescent="0.3">
      <c r="C38" s="54" t="s">
        <v>56</v>
      </c>
      <c r="D38" s="30" t="s">
        <v>17</v>
      </c>
      <c r="E38" s="44">
        <f>F34+3</f>
        <v>45796</v>
      </c>
      <c r="F38" s="44">
        <f>E38+4</f>
        <v>45800</v>
      </c>
      <c r="G38" s="10"/>
      <c r="H38" s="10">
        <f t="shared" si="199"/>
        <v>5</v>
      </c>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c r="GP38" s="16"/>
      <c r="GQ38" s="16"/>
      <c r="GR38" s="16"/>
      <c r="GS38" s="16"/>
      <c r="GT38" s="16"/>
      <c r="GU38" s="16"/>
      <c r="GV38" s="16"/>
      <c r="GW38" s="16"/>
      <c r="GX38" s="16"/>
      <c r="GY38" s="16"/>
      <c r="GZ38" s="16"/>
      <c r="HA38" s="16"/>
      <c r="HB38" s="16"/>
      <c r="HC38" s="16"/>
      <c r="HD38" s="16"/>
      <c r="HE38" s="16"/>
      <c r="HF38" s="16"/>
      <c r="HG38" s="16"/>
      <c r="HH38" s="16"/>
      <c r="HI38" s="16"/>
      <c r="HJ38" s="16"/>
      <c r="HK38" s="16"/>
      <c r="HL38" s="16"/>
      <c r="HM38" s="16"/>
      <c r="HN38" s="16"/>
      <c r="HO38" s="16"/>
      <c r="HP38" s="16"/>
      <c r="HQ38" s="16"/>
      <c r="HR38" s="16"/>
      <c r="HS38" s="16"/>
      <c r="HT38" s="16"/>
      <c r="HU38" s="16"/>
      <c r="HV38" s="16"/>
      <c r="HW38" s="16"/>
      <c r="HX38" s="16"/>
      <c r="HY38" s="16"/>
      <c r="HZ38" s="16"/>
      <c r="IA38" s="16"/>
      <c r="IB38" s="16"/>
      <c r="IC38" s="16"/>
      <c r="ID38" s="16"/>
      <c r="IE38" s="16"/>
      <c r="IF38" s="16"/>
      <c r="IG38" s="16"/>
      <c r="IH38" s="16"/>
      <c r="II38" s="16"/>
      <c r="IJ38" s="16"/>
      <c r="IK38" s="16"/>
      <c r="IL38" s="16"/>
      <c r="IM38" s="16"/>
      <c r="IN38" s="16"/>
      <c r="IO38" s="16"/>
      <c r="IP38" s="16"/>
      <c r="IQ38" s="16"/>
      <c r="IR38" s="16"/>
      <c r="IS38" s="16"/>
      <c r="IT38" s="16"/>
      <c r="IU38" s="16"/>
      <c r="IV38" s="16"/>
      <c r="IW38" s="16"/>
      <c r="IX38" s="16"/>
      <c r="IY38" s="16"/>
      <c r="IZ38" s="16"/>
      <c r="JA38" s="16"/>
      <c r="JB38" s="16"/>
      <c r="JC38" s="16"/>
      <c r="JD38" s="16"/>
      <c r="JE38" s="16"/>
      <c r="JF38" s="16"/>
      <c r="JG38" s="16"/>
      <c r="JH38" s="16"/>
      <c r="JI38" s="16"/>
      <c r="JJ38" s="16"/>
      <c r="JK38" s="16"/>
      <c r="JL38" s="16"/>
      <c r="JM38" s="16"/>
      <c r="JN38" s="16"/>
      <c r="JO38" s="16"/>
      <c r="JP38" s="16"/>
      <c r="JQ38" s="16"/>
      <c r="JR38" s="16"/>
      <c r="JS38" s="16"/>
      <c r="JT38" s="16"/>
      <c r="JU38" s="16"/>
      <c r="JV38" s="16"/>
      <c r="JW38" s="16"/>
      <c r="JX38" s="16"/>
      <c r="JY38" s="16"/>
      <c r="JZ38" s="16"/>
      <c r="KA38" s="16"/>
      <c r="KB38" s="16"/>
      <c r="KC38" s="16"/>
      <c r="KD38" s="16"/>
      <c r="KE38" s="16"/>
      <c r="KF38" s="16"/>
      <c r="KG38" s="16"/>
      <c r="KH38" s="16"/>
      <c r="KI38" s="16"/>
      <c r="KJ38" s="16"/>
      <c r="KK38" s="16"/>
      <c r="KL38" s="16"/>
      <c r="KM38" s="16"/>
      <c r="KN38" s="16"/>
      <c r="KO38" s="16"/>
      <c r="KP38" s="16"/>
      <c r="KQ38" s="16"/>
      <c r="KR38" s="16"/>
      <c r="KS38" s="16"/>
      <c r="KT38" s="16"/>
      <c r="KU38" s="16"/>
      <c r="KV38" s="16"/>
      <c r="KW38" s="16"/>
      <c r="KX38" s="16"/>
      <c r="KY38" s="16"/>
      <c r="KZ38" s="16"/>
      <c r="LA38" s="16"/>
      <c r="LB38" s="16"/>
      <c r="LC38" s="16"/>
      <c r="LD38" s="16"/>
      <c r="LE38" s="16"/>
      <c r="LF38" s="16"/>
      <c r="LG38" s="16"/>
      <c r="LH38" s="16"/>
      <c r="LI38" s="16"/>
      <c r="LJ38" s="16"/>
      <c r="LK38" s="6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row>
    <row r="39" spans="3:358" ht="30" customHeight="1" thickBot="1" x14ac:dyDescent="0.3">
      <c r="C39" s="14" t="s">
        <v>57</v>
      </c>
      <c r="D39" s="31"/>
      <c r="E39" s="45"/>
      <c r="F39" s="46"/>
      <c r="G39" s="10"/>
      <c r="H39" s="10" t="str">
        <f t="shared" si="199"/>
        <v/>
      </c>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6"/>
      <c r="IE39" s="16"/>
      <c r="IF39" s="16"/>
      <c r="IG39" s="16"/>
      <c r="IH39" s="16"/>
      <c r="II39" s="16"/>
      <c r="IJ39" s="16"/>
      <c r="IK39" s="16"/>
      <c r="IL39" s="16"/>
      <c r="IM39" s="16"/>
      <c r="IN39" s="16"/>
      <c r="IO39" s="16"/>
      <c r="IP39" s="16"/>
      <c r="IQ39" s="16"/>
      <c r="IR39" s="16"/>
      <c r="IS39" s="16"/>
      <c r="IT39" s="16"/>
      <c r="IU39" s="16"/>
      <c r="IV39" s="16"/>
      <c r="IW39" s="16"/>
      <c r="IX39" s="16"/>
      <c r="IY39" s="16"/>
      <c r="IZ39" s="16"/>
      <c r="JA39" s="16"/>
      <c r="JB39" s="16"/>
      <c r="JC39" s="16"/>
      <c r="JD39" s="16"/>
      <c r="JE39" s="16"/>
      <c r="JF39" s="16"/>
      <c r="JG39" s="16"/>
      <c r="JH39" s="16"/>
      <c r="JI39" s="16"/>
      <c r="JJ39" s="16"/>
      <c r="JK39" s="16"/>
      <c r="JL39" s="16"/>
      <c r="JM39" s="16"/>
      <c r="JN39" s="16"/>
      <c r="JO39" s="16"/>
      <c r="JP39" s="16"/>
      <c r="JQ39" s="16"/>
      <c r="JR39" s="16"/>
      <c r="JS39" s="16"/>
      <c r="JT39" s="16"/>
      <c r="JU39" s="16"/>
      <c r="JV39" s="16"/>
      <c r="JW39" s="16"/>
      <c r="JX39" s="16"/>
      <c r="JY39" s="16"/>
      <c r="JZ39" s="16"/>
      <c r="KA39" s="16"/>
      <c r="KB39" s="16"/>
      <c r="KC39" s="16"/>
      <c r="KD39" s="16"/>
      <c r="KE39" s="16"/>
      <c r="KF39" s="16"/>
      <c r="KG39" s="16"/>
      <c r="KH39" s="16"/>
      <c r="KI39" s="16"/>
      <c r="KJ39" s="16"/>
      <c r="KK39" s="16"/>
      <c r="KL39" s="16"/>
      <c r="KM39" s="16"/>
      <c r="KN39" s="16"/>
      <c r="KO39" s="16"/>
      <c r="KP39" s="16"/>
      <c r="KQ39" s="16"/>
      <c r="KR39" s="16"/>
      <c r="KS39" s="16"/>
      <c r="KT39" s="16"/>
      <c r="KU39" s="16"/>
      <c r="KV39" s="16"/>
      <c r="KW39" s="16"/>
      <c r="KX39" s="16"/>
      <c r="KY39" s="16"/>
      <c r="KZ39" s="16"/>
      <c r="LA39" s="16"/>
      <c r="LB39" s="16"/>
      <c r="LC39" s="16"/>
      <c r="LD39" s="16"/>
      <c r="LE39" s="16"/>
      <c r="LF39" s="16"/>
      <c r="LG39" s="16"/>
      <c r="LH39" s="16"/>
      <c r="LI39" s="16"/>
      <c r="LJ39" s="16"/>
      <c r="LK39" s="6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row>
    <row r="40" spans="3:358" ht="56.45" customHeight="1" thickBot="1" x14ac:dyDescent="0.3">
      <c r="C40" s="61" t="s">
        <v>58</v>
      </c>
      <c r="D40" s="32" t="s">
        <v>17</v>
      </c>
      <c r="E40" s="47">
        <f>F38+3</f>
        <v>45803</v>
      </c>
      <c r="F40" s="47">
        <f>E40+4</f>
        <v>45807</v>
      </c>
      <c r="G40" s="10"/>
      <c r="H40" s="10">
        <f t="shared" si="199"/>
        <v>5</v>
      </c>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6"/>
      <c r="IY40" s="16"/>
      <c r="IZ40" s="16"/>
      <c r="JA40" s="16"/>
      <c r="JB40" s="16"/>
      <c r="JC40" s="16"/>
      <c r="JD40" s="16"/>
      <c r="JE40" s="16"/>
      <c r="JF40" s="16"/>
      <c r="JG40" s="16"/>
      <c r="JH40" s="16"/>
      <c r="JI40" s="16"/>
      <c r="JJ40" s="16"/>
      <c r="JK40" s="16"/>
      <c r="JL40" s="16"/>
      <c r="JM40" s="16"/>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6"/>
      <c r="KU40" s="16"/>
      <c r="KV40" s="16"/>
      <c r="KW40" s="16"/>
      <c r="KX40" s="16"/>
      <c r="KY40" s="16"/>
      <c r="KZ40" s="16"/>
      <c r="LA40" s="16"/>
      <c r="LB40" s="16"/>
      <c r="LC40" s="16"/>
      <c r="LD40" s="16"/>
      <c r="LE40" s="16"/>
      <c r="LF40" s="16"/>
      <c r="LG40" s="16"/>
      <c r="LH40" s="16"/>
      <c r="LI40" s="16"/>
      <c r="LJ40" s="16"/>
      <c r="LK40" s="6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row>
    <row r="41" spans="3:358" ht="56.45" customHeight="1" thickBot="1" x14ac:dyDescent="0.3">
      <c r="C41" s="61" t="s">
        <v>59</v>
      </c>
      <c r="D41" s="32" t="s">
        <v>17</v>
      </c>
      <c r="E41" s="47">
        <v>45810</v>
      </c>
      <c r="F41" s="47">
        <f>E41+4</f>
        <v>45814</v>
      </c>
      <c r="G41" s="10"/>
      <c r="H41" s="10">
        <f t="shared" si="199"/>
        <v>5</v>
      </c>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6"/>
      <c r="IE41" s="16"/>
      <c r="IF41" s="16"/>
      <c r="IG41" s="16"/>
      <c r="IH41" s="16"/>
      <c r="II41" s="16"/>
      <c r="IJ41" s="16"/>
      <c r="IK41" s="16"/>
      <c r="IL41" s="16"/>
      <c r="IM41" s="16"/>
      <c r="IN41" s="16"/>
      <c r="IO41" s="16"/>
      <c r="IP41" s="16"/>
      <c r="IQ41" s="16"/>
      <c r="IR41" s="16"/>
      <c r="IS41" s="16"/>
      <c r="IT41" s="16"/>
      <c r="IU41" s="16"/>
      <c r="IV41" s="16"/>
      <c r="IW41" s="16"/>
      <c r="IX41" s="16"/>
      <c r="IY41" s="16"/>
      <c r="IZ41" s="16"/>
      <c r="JA41" s="16"/>
      <c r="JB41" s="16"/>
      <c r="JC41" s="16"/>
      <c r="JD41" s="16"/>
      <c r="JE41" s="16"/>
      <c r="JF41" s="16"/>
      <c r="JG41" s="16"/>
      <c r="JH41" s="16"/>
      <c r="JI41" s="16"/>
      <c r="JJ41" s="16"/>
      <c r="JK41" s="16"/>
      <c r="JL41" s="16"/>
      <c r="JM41" s="16"/>
      <c r="JN41" s="16"/>
      <c r="JO41" s="16"/>
      <c r="JP41" s="16"/>
      <c r="JQ41" s="16"/>
      <c r="JR41" s="16"/>
      <c r="JS41" s="16"/>
      <c r="JT41" s="16"/>
      <c r="JU41" s="16"/>
      <c r="JV41" s="16"/>
      <c r="JW41" s="16"/>
      <c r="JX41" s="16"/>
      <c r="JY41" s="16"/>
      <c r="JZ41" s="16"/>
      <c r="KA41" s="16"/>
      <c r="KB41" s="16"/>
      <c r="KC41" s="16"/>
      <c r="KD41" s="16"/>
      <c r="KE41" s="16"/>
      <c r="KF41" s="16"/>
      <c r="KG41" s="16"/>
      <c r="KH41" s="16"/>
      <c r="KI41" s="16"/>
      <c r="KJ41" s="16"/>
      <c r="KK41" s="16"/>
      <c r="KL41" s="16"/>
      <c r="KM41" s="16"/>
      <c r="KN41" s="16"/>
      <c r="KO41" s="16"/>
      <c r="KP41" s="16"/>
      <c r="KQ41" s="16"/>
      <c r="KR41" s="16"/>
      <c r="KS41" s="16"/>
      <c r="KT41" s="16"/>
      <c r="KU41" s="16"/>
      <c r="KV41" s="16"/>
      <c r="KW41" s="16"/>
      <c r="KX41" s="16"/>
      <c r="KY41" s="16"/>
      <c r="KZ41" s="16"/>
      <c r="LA41" s="16"/>
      <c r="LB41" s="16"/>
      <c r="LC41" s="16"/>
      <c r="LD41" s="16"/>
      <c r="LE41" s="16"/>
      <c r="LF41" s="16"/>
      <c r="LG41" s="16"/>
      <c r="LH41" s="16"/>
      <c r="LI41" s="16"/>
      <c r="LJ41" s="16"/>
      <c r="LK41" s="6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row>
    <row r="42" spans="3:358" ht="30" customHeight="1" thickBot="1" x14ac:dyDescent="0.3">
      <c r="C42" s="57" t="s">
        <v>60</v>
      </c>
      <c r="D42" s="58"/>
      <c r="E42" s="59"/>
      <c r="F42" s="60"/>
      <c r="G42" s="10"/>
      <c r="H42" s="10"/>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c r="GP42" s="16"/>
      <c r="GQ42" s="16"/>
      <c r="GR42" s="16"/>
      <c r="GS42" s="16"/>
      <c r="GT42" s="16"/>
      <c r="GU42" s="16"/>
      <c r="GV42" s="16"/>
      <c r="GW42" s="16"/>
      <c r="GX42" s="16"/>
      <c r="GY42" s="16"/>
      <c r="GZ42" s="16"/>
      <c r="HA42" s="16"/>
      <c r="HB42" s="16"/>
      <c r="HC42" s="16"/>
      <c r="HD42" s="16"/>
      <c r="HE42" s="16"/>
      <c r="HF42" s="16"/>
      <c r="HG42" s="16"/>
      <c r="HH42" s="16"/>
      <c r="HI42" s="16"/>
      <c r="HJ42" s="16"/>
      <c r="HK42" s="16"/>
      <c r="HL42" s="16"/>
      <c r="HM42" s="16"/>
      <c r="HN42" s="16"/>
      <c r="HO42" s="16"/>
      <c r="HP42" s="16"/>
      <c r="HQ42" s="16"/>
      <c r="HR42" s="16"/>
      <c r="HS42" s="16"/>
      <c r="HT42" s="16"/>
      <c r="HU42" s="16"/>
      <c r="HV42" s="16"/>
      <c r="HW42" s="16"/>
      <c r="HX42" s="16"/>
      <c r="HY42" s="16"/>
      <c r="HZ42" s="16"/>
      <c r="IA42" s="16"/>
      <c r="IB42" s="16"/>
      <c r="IC42" s="16"/>
      <c r="ID42" s="16"/>
      <c r="IE42" s="16"/>
      <c r="IF42" s="16"/>
      <c r="IG42" s="16"/>
      <c r="IH42" s="16"/>
      <c r="II42" s="16"/>
      <c r="IJ42" s="16"/>
      <c r="IK42" s="16"/>
      <c r="IL42" s="16"/>
      <c r="IM42" s="16"/>
      <c r="IN42" s="16"/>
      <c r="IO42" s="16"/>
      <c r="IP42" s="16"/>
      <c r="IQ42" s="16"/>
      <c r="IR42" s="16"/>
      <c r="IS42" s="16"/>
      <c r="IT42" s="16"/>
      <c r="IU42" s="16"/>
      <c r="IV42" s="16"/>
      <c r="IW42" s="16"/>
      <c r="IX42" s="16"/>
      <c r="IY42" s="16"/>
      <c r="IZ42" s="16"/>
      <c r="JA42" s="16"/>
      <c r="JB42" s="16"/>
      <c r="JC42" s="16"/>
      <c r="JD42" s="16"/>
      <c r="JE42" s="16"/>
      <c r="JF42" s="16"/>
      <c r="JG42" s="16"/>
      <c r="JH42" s="16"/>
      <c r="JI42" s="16"/>
      <c r="JJ42" s="16"/>
      <c r="JK42" s="16"/>
      <c r="JL42" s="16"/>
      <c r="JM42" s="16"/>
      <c r="JN42" s="16"/>
      <c r="JO42" s="16"/>
      <c r="JP42" s="16"/>
      <c r="JQ42" s="16"/>
      <c r="JR42" s="16"/>
      <c r="JS42" s="16"/>
      <c r="JT42" s="16"/>
      <c r="JU42" s="16"/>
      <c r="JV42" s="16"/>
      <c r="JW42" s="16"/>
      <c r="JX42" s="16"/>
      <c r="JY42" s="16"/>
      <c r="JZ42" s="16"/>
      <c r="KA42" s="16"/>
      <c r="KB42" s="16"/>
      <c r="KC42" s="16"/>
      <c r="KD42" s="16"/>
      <c r="KE42" s="16"/>
      <c r="KF42" s="16"/>
      <c r="KG42" s="16"/>
      <c r="KH42" s="16"/>
      <c r="KI42" s="16"/>
      <c r="KJ42" s="16"/>
      <c r="KK42" s="16"/>
      <c r="KL42" s="16"/>
      <c r="KM42" s="16"/>
      <c r="KN42" s="16"/>
      <c r="KO42" s="16"/>
      <c r="KP42" s="16"/>
      <c r="KQ42" s="16"/>
      <c r="KR42" s="16"/>
      <c r="KS42" s="16"/>
      <c r="KT42" s="16"/>
      <c r="KU42" s="16"/>
      <c r="KV42" s="16"/>
      <c r="KW42" s="16"/>
      <c r="KX42" s="16"/>
      <c r="KY42" s="16"/>
      <c r="KZ42" s="16"/>
      <c r="LA42" s="16"/>
      <c r="LB42" s="16"/>
      <c r="LC42" s="16"/>
      <c r="LD42" s="16"/>
      <c r="LE42" s="16"/>
      <c r="LF42" s="16"/>
      <c r="LG42" s="16"/>
      <c r="LH42" s="16"/>
      <c r="LI42" s="16"/>
      <c r="LJ42" s="16"/>
      <c r="LK42" s="16"/>
      <c r="LL42" s="16"/>
      <c r="LM42" s="16"/>
      <c r="LN42" s="16"/>
      <c r="LO42" s="16"/>
      <c r="LP42" s="16"/>
      <c r="LQ42" s="16"/>
      <c r="LR42" s="16"/>
    </row>
    <row r="43" spans="3:358" ht="30" customHeight="1" thickBot="1" x14ac:dyDescent="0.3">
      <c r="C43" s="67" t="s">
        <v>61</v>
      </c>
      <c r="D43" s="68" t="s">
        <v>17</v>
      </c>
      <c r="E43" s="69"/>
      <c r="F43" s="69"/>
      <c r="G43" s="15"/>
      <c r="H43" s="15"/>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70"/>
      <c r="EK43" s="70"/>
      <c r="EL43" s="70"/>
      <c r="EM43" s="70"/>
      <c r="EN43" s="70"/>
      <c r="EO43" s="70"/>
      <c r="EP43" s="70"/>
      <c r="EQ43" s="70"/>
      <c r="ER43" s="70"/>
      <c r="ES43" s="70"/>
      <c r="ET43" s="70"/>
      <c r="EU43" s="70"/>
      <c r="EV43" s="70"/>
      <c r="EW43" s="70"/>
      <c r="EX43" s="70"/>
      <c r="EY43" s="70"/>
      <c r="EZ43" s="70"/>
      <c r="FA43" s="70"/>
      <c r="FB43" s="70"/>
      <c r="FC43" s="70"/>
      <c r="FD43" s="70"/>
      <c r="FE43" s="70"/>
      <c r="FF43" s="70"/>
      <c r="FG43" s="70"/>
      <c r="FH43" s="70"/>
      <c r="FI43" s="70"/>
      <c r="FJ43" s="70"/>
      <c r="FK43" s="70"/>
      <c r="FL43" s="70"/>
      <c r="FM43" s="70"/>
      <c r="FN43" s="70"/>
      <c r="FO43" s="70"/>
      <c r="FP43" s="70"/>
      <c r="FQ43" s="70"/>
      <c r="FR43" s="70"/>
      <c r="FS43" s="70"/>
      <c r="FT43" s="70"/>
      <c r="FU43" s="70"/>
      <c r="FV43" s="70"/>
      <c r="FW43" s="70"/>
      <c r="FX43" s="70"/>
      <c r="FY43" s="70"/>
      <c r="FZ43" s="70"/>
      <c r="GA43" s="70"/>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c r="HV43" s="16"/>
      <c r="HW43" s="16"/>
      <c r="HX43" s="16"/>
      <c r="HY43" s="16"/>
      <c r="HZ43" s="16"/>
      <c r="IA43" s="16"/>
      <c r="IB43" s="16"/>
      <c r="IC43" s="16"/>
      <c r="ID43" s="16"/>
      <c r="IE43" s="16"/>
      <c r="IF43" s="16"/>
      <c r="IG43" s="16"/>
      <c r="IH43" s="16"/>
      <c r="II43" s="16"/>
      <c r="IJ43" s="16"/>
      <c r="IK43" s="16"/>
      <c r="IL43" s="16"/>
      <c r="IM43" s="16"/>
      <c r="IN43" s="16"/>
      <c r="IO43" s="16"/>
      <c r="IP43" s="16"/>
      <c r="IQ43" s="16"/>
      <c r="IR43" s="16"/>
      <c r="IS43" s="16"/>
      <c r="IT43" s="16"/>
      <c r="IU43" s="16"/>
      <c r="IV43" s="16"/>
      <c r="IW43" s="16"/>
      <c r="IX43" s="16"/>
      <c r="IY43" s="16"/>
      <c r="IZ43" s="16"/>
      <c r="JA43" s="16"/>
      <c r="JB43" s="16"/>
      <c r="JC43" s="16"/>
      <c r="JD43" s="16"/>
      <c r="JE43" s="16"/>
      <c r="JF43" s="16"/>
      <c r="JG43" s="16"/>
      <c r="JH43" s="16"/>
      <c r="JI43" s="16"/>
      <c r="JJ43" s="16"/>
      <c r="JK43" s="16"/>
      <c r="JL43" s="16"/>
      <c r="JM43" s="16"/>
      <c r="JN43" s="16"/>
      <c r="JO43" s="16"/>
      <c r="JP43" s="16"/>
      <c r="JQ43" s="16"/>
      <c r="JR43" s="16"/>
      <c r="JS43" s="16"/>
      <c r="JT43" s="16"/>
      <c r="JU43" s="16"/>
      <c r="JV43" s="16"/>
      <c r="JW43" s="16"/>
      <c r="JX43" s="16"/>
      <c r="JY43" s="16"/>
      <c r="JZ43" s="16"/>
      <c r="KA43" s="16"/>
      <c r="KB43" s="16"/>
      <c r="KC43" s="16"/>
      <c r="KD43" s="16"/>
      <c r="KE43" s="16"/>
      <c r="KF43" s="16"/>
      <c r="KG43" s="16"/>
      <c r="KH43" s="16"/>
      <c r="KI43" s="16"/>
      <c r="KJ43" s="16"/>
      <c r="KK43" s="16"/>
      <c r="KL43" s="16"/>
      <c r="KM43" s="16"/>
      <c r="KN43" s="16"/>
      <c r="KO43" s="16"/>
      <c r="KP43" s="16"/>
      <c r="KQ43" s="16"/>
      <c r="KR43" s="16"/>
      <c r="KS43" s="16"/>
      <c r="KT43" s="16"/>
      <c r="KU43" s="16"/>
      <c r="KV43" s="16"/>
      <c r="KW43" s="16"/>
      <c r="KX43" s="16"/>
      <c r="KY43" s="16"/>
      <c r="KZ43" s="16"/>
      <c r="LA43" s="16"/>
      <c r="LB43" s="16"/>
      <c r="LC43" s="16"/>
      <c r="LD43" s="16"/>
      <c r="LE43" s="16"/>
      <c r="LF43" s="16"/>
      <c r="LG43" s="16"/>
      <c r="LH43" s="16"/>
      <c r="LI43" s="16"/>
      <c r="LJ43" s="16"/>
      <c r="LK43" s="16"/>
      <c r="LL43" s="16"/>
      <c r="LM43" s="16"/>
      <c r="LN43" s="16"/>
      <c r="LO43" s="16"/>
      <c r="LP43" s="16"/>
      <c r="LQ43" s="16"/>
      <c r="LR43" s="16"/>
    </row>
    <row r="44" spans="3:358" ht="30" customHeight="1" thickBot="1" x14ac:dyDescent="0.3">
      <c r="C44" s="57" t="s">
        <v>62</v>
      </c>
      <c r="D44" s="58" t="s">
        <v>17</v>
      </c>
      <c r="E44" s="59"/>
      <c r="F44" s="60"/>
      <c r="G44" s="71"/>
      <c r="H44" s="71"/>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70"/>
      <c r="EK44" s="70"/>
      <c r="EL44" s="70"/>
      <c r="EM44" s="70"/>
      <c r="EN44" s="70"/>
      <c r="EO44" s="70"/>
      <c r="EP44" s="70"/>
      <c r="EQ44" s="70"/>
      <c r="ER44" s="70"/>
      <c r="ES44" s="70"/>
      <c r="ET44" s="70"/>
      <c r="EU44" s="70"/>
      <c r="EV44" s="70"/>
      <c r="EW44" s="70"/>
      <c r="EX44" s="70"/>
      <c r="EY44" s="70"/>
      <c r="EZ44" s="70"/>
      <c r="FA44" s="70"/>
      <c r="FB44" s="70"/>
      <c r="FC44" s="70"/>
      <c r="FD44" s="70"/>
      <c r="FE44" s="70"/>
      <c r="FF44" s="70"/>
      <c r="FG44" s="70"/>
      <c r="FH44" s="70"/>
      <c r="FI44" s="70"/>
      <c r="FJ44" s="70"/>
      <c r="FK44" s="70"/>
      <c r="FL44" s="70"/>
      <c r="FM44" s="70"/>
      <c r="FN44" s="70"/>
      <c r="FO44" s="70"/>
      <c r="FP44" s="70"/>
      <c r="FQ44" s="70"/>
      <c r="FR44" s="70"/>
      <c r="FS44" s="70"/>
      <c r="FT44" s="70"/>
      <c r="FU44" s="70"/>
      <c r="FV44" s="70"/>
      <c r="FW44" s="70"/>
      <c r="FX44" s="70"/>
      <c r="FY44" s="70"/>
      <c r="FZ44" s="70"/>
      <c r="GA44" s="70"/>
      <c r="GB44" s="16"/>
      <c r="GC44" s="16"/>
      <c r="GD44" s="16"/>
      <c r="GE44" s="16"/>
      <c r="GF44" s="16"/>
      <c r="GG44" s="16"/>
      <c r="GH44" s="16"/>
      <c r="GI44" s="16"/>
      <c r="GJ44" s="16"/>
      <c r="GK44" s="16"/>
      <c r="GL44" s="16"/>
      <c r="GM44" s="16"/>
      <c r="GN44" s="16"/>
      <c r="GO44" s="16"/>
      <c r="GP44" s="16"/>
      <c r="GQ44" s="16"/>
      <c r="GR44" s="16"/>
      <c r="GS44" s="16"/>
      <c r="GT44" s="16"/>
      <c r="GU44" s="16"/>
      <c r="GV44" s="16"/>
      <c r="GW44" s="16"/>
      <c r="GX44" s="16"/>
      <c r="GY44" s="16"/>
      <c r="GZ44" s="16"/>
      <c r="HA44" s="16"/>
      <c r="HB44" s="16"/>
      <c r="HC44" s="16"/>
      <c r="HD44" s="16"/>
      <c r="HE44" s="16"/>
      <c r="HF44" s="16"/>
      <c r="HG44" s="16"/>
      <c r="HH44" s="16"/>
      <c r="HI44" s="16"/>
      <c r="HJ44" s="16"/>
      <c r="HK44" s="16"/>
      <c r="HL44" s="16"/>
      <c r="HM44" s="16"/>
      <c r="HN44" s="16"/>
      <c r="HO44" s="16"/>
      <c r="HP44" s="16"/>
      <c r="HQ44" s="16"/>
      <c r="HR44" s="16"/>
      <c r="HS44" s="16"/>
      <c r="HT44" s="16"/>
      <c r="HU44" s="16"/>
      <c r="HV44" s="16"/>
      <c r="HW44" s="16"/>
      <c r="HX44" s="16"/>
      <c r="HY44" s="16"/>
      <c r="HZ44" s="16"/>
      <c r="IA44" s="16"/>
      <c r="IB44" s="16"/>
      <c r="IC44" s="16"/>
      <c r="ID44" s="16"/>
      <c r="IE44" s="16"/>
      <c r="IF44" s="16"/>
      <c r="IG44" s="16"/>
      <c r="IH44" s="16"/>
      <c r="II44" s="16"/>
      <c r="IJ44" s="16"/>
      <c r="IK44" s="16"/>
      <c r="IL44" s="16"/>
      <c r="IM44" s="16"/>
      <c r="IN44" s="16"/>
      <c r="IO44" s="16"/>
      <c r="IP44" s="16"/>
      <c r="IQ44" s="16"/>
      <c r="IR44" s="16"/>
      <c r="IS44" s="16"/>
      <c r="IT44" s="16"/>
      <c r="IU44" s="16"/>
      <c r="IV44" s="16"/>
      <c r="IW44" s="16"/>
      <c r="IX44" s="16"/>
      <c r="IY44" s="16"/>
      <c r="IZ44" s="16"/>
      <c r="JA44" s="16"/>
      <c r="JB44" s="16"/>
      <c r="JC44" s="16"/>
      <c r="JD44" s="16"/>
      <c r="JE44" s="16"/>
      <c r="JF44" s="16"/>
      <c r="JG44" s="16"/>
      <c r="JH44" s="16"/>
      <c r="JI44" s="16"/>
      <c r="JJ44" s="16"/>
      <c r="JK44" s="16"/>
      <c r="JL44" s="16"/>
      <c r="JM44" s="16"/>
      <c r="JN44" s="16"/>
      <c r="JO44" s="16"/>
      <c r="JP44" s="16"/>
      <c r="JQ44" s="16"/>
      <c r="JR44" s="16"/>
      <c r="JS44" s="16"/>
      <c r="JT44" s="16"/>
      <c r="JU44" s="16"/>
      <c r="JV44" s="16"/>
      <c r="JW44" s="16"/>
      <c r="JX44" s="16"/>
      <c r="JY44" s="16"/>
      <c r="JZ44" s="16"/>
      <c r="KA44" s="16"/>
      <c r="KB44" s="16"/>
      <c r="KC44" s="16"/>
      <c r="KD44" s="16"/>
      <c r="KE44" s="16"/>
      <c r="KF44" s="16"/>
      <c r="KG44" s="16"/>
      <c r="KH44" s="16"/>
      <c r="KI44" s="16"/>
      <c r="KJ44" s="16"/>
      <c r="KK44" s="16"/>
      <c r="KL44" s="16"/>
      <c r="KM44" s="16"/>
      <c r="KN44" s="16"/>
      <c r="KO44" s="16"/>
      <c r="KP44" s="16"/>
      <c r="KQ44" s="16"/>
      <c r="KR44" s="16"/>
      <c r="KS44" s="16"/>
      <c r="KT44" s="16"/>
      <c r="KU44" s="16"/>
      <c r="KV44" s="16"/>
      <c r="KW44" s="16"/>
      <c r="KX44" s="16"/>
      <c r="KY44" s="16"/>
      <c r="KZ44" s="16"/>
      <c r="LA44" s="16"/>
      <c r="LB44" s="16"/>
      <c r="LC44" s="16"/>
      <c r="LD44" s="16"/>
      <c r="LE44" s="16"/>
      <c r="LF44" s="16"/>
      <c r="LG44" s="16"/>
      <c r="LH44" s="16"/>
      <c r="LI44" s="16"/>
      <c r="LJ44" s="16"/>
      <c r="LK44" s="16"/>
      <c r="LL44" s="16"/>
      <c r="LM44" s="16"/>
      <c r="LN44" s="16"/>
      <c r="LO44" s="16"/>
      <c r="LP44" s="16"/>
      <c r="LQ44" s="16"/>
      <c r="LR44" s="16"/>
    </row>
    <row r="45" spans="3:358" ht="30" customHeight="1" thickBot="1" x14ac:dyDescent="0.3">
      <c r="C45" s="74" t="s">
        <v>63</v>
      </c>
      <c r="D45" s="68" t="s">
        <v>17</v>
      </c>
      <c r="E45" s="72">
        <v>45868</v>
      </c>
      <c r="F45" s="73">
        <v>45927</v>
      </c>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c r="HR45" s="16"/>
      <c r="HS45" s="16"/>
      <c r="HT45" s="16"/>
      <c r="HU45" s="16"/>
      <c r="HV45" s="16"/>
      <c r="HW45" s="16"/>
      <c r="HX45" s="16"/>
      <c r="HY45" s="16"/>
      <c r="HZ45" s="16"/>
      <c r="IA45" s="16"/>
      <c r="IB45" s="16"/>
      <c r="IC45" s="16"/>
      <c r="ID45" s="16"/>
      <c r="IE45" s="16"/>
      <c r="IF45" s="16"/>
      <c r="IG45" s="16"/>
      <c r="IH45" s="16"/>
      <c r="II45" s="16"/>
      <c r="IJ45" s="16"/>
      <c r="IK45" s="16"/>
      <c r="IL45" s="16"/>
      <c r="IM45" s="16"/>
      <c r="IN45" s="16"/>
      <c r="IO45" s="16"/>
      <c r="IP45" s="16"/>
      <c r="IQ45" s="16"/>
      <c r="IR45" s="16"/>
      <c r="IS45" s="16"/>
      <c r="IT45" s="16"/>
      <c r="IU45" s="16"/>
      <c r="IV45" s="16"/>
      <c r="IW45" s="16"/>
      <c r="IX45" s="16"/>
      <c r="IY45" s="16"/>
      <c r="IZ45" s="16"/>
      <c r="JA45" s="16"/>
      <c r="JB45" s="16"/>
      <c r="JC45" s="16"/>
      <c r="JD45" s="16"/>
      <c r="JE45" s="16"/>
      <c r="JF45" s="16"/>
      <c r="JG45" s="16"/>
      <c r="JH45" s="16"/>
      <c r="JI45" s="16"/>
      <c r="JJ45" s="16"/>
      <c r="JK45" s="16"/>
      <c r="JL45" s="16"/>
      <c r="JM45" s="16"/>
      <c r="JN45" s="16"/>
      <c r="JO45" s="16"/>
      <c r="JP45" s="16"/>
      <c r="JQ45" s="16"/>
      <c r="JR45" s="16"/>
      <c r="JS45" s="16"/>
      <c r="JT45" s="16"/>
      <c r="JU45" s="16"/>
      <c r="JV45" s="16"/>
      <c r="JW45" s="16"/>
      <c r="JX45" s="16"/>
      <c r="JY45" s="16"/>
      <c r="JZ45" s="16"/>
      <c r="KA45" s="16"/>
      <c r="KB45" s="16"/>
      <c r="KC45" s="16"/>
      <c r="KD45" s="16"/>
      <c r="KE45" s="16"/>
      <c r="KF45" s="16"/>
      <c r="KG45" s="16"/>
      <c r="KH45" s="16"/>
      <c r="KI45" s="16"/>
      <c r="KJ45" s="16"/>
      <c r="KK45" s="16"/>
      <c r="KL45" s="16"/>
      <c r="KM45" s="16"/>
      <c r="KN45" s="16"/>
      <c r="KO45" s="16"/>
      <c r="KP45" s="16"/>
      <c r="KQ45" s="16"/>
      <c r="KR45" s="16"/>
      <c r="KS45" s="16"/>
      <c r="KT45" s="16"/>
      <c r="KU45" s="16"/>
      <c r="KV45" s="16"/>
      <c r="KW45" s="16"/>
      <c r="KX45" s="16"/>
      <c r="KY45" s="16"/>
      <c r="KZ45" s="16"/>
      <c r="LA45" s="16"/>
      <c r="LB45" s="16"/>
      <c r="LC45" s="16"/>
      <c r="LD45" s="16"/>
      <c r="LE45" s="16"/>
      <c r="LF45" s="16"/>
      <c r="LG45" s="16"/>
      <c r="LH45" s="16"/>
      <c r="LI45" s="16"/>
      <c r="LJ45" s="16"/>
      <c r="LK45" s="16"/>
      <c r="LL45" s="16"/>
      <c r="LM45" s="16"/>
      <c r="LN45" s="16"/>
      <c r="LO45" s="16"/>
      <c r="LP45" s="16"/>
      <c r="LQ45" s="16"/>
      <c r="LR45" s="16"/>
    </row>
    <row r="46" spans="3:358" ht="50.45" customHeight="1" thickBot="1" x14ac:dyDescent="0.3">
      <c r="C46" s="74" t="s">
        <v>64</v>
      </c>
      <c r="D46" s="68" t="s">
        <v>17</v>
      </c>
      <c r="E46" s="72">
        <v>45869</v>
      </c>
      <c r="F46" s="73">
        <v>45962</v>
      </c>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c r="GP46" s="16"/>
      <c r="GQ46" s="16"/>
      <c r="GR46" s="16"/>
      <c r="GS46" s="16"/>
      <c r="GT46" s="16"/>
      <c r="GU46" s="16"/>
      <c r="GV46" s="16"/>
      <c r="GW46" s="16"/>
      <c r="GX46" s="16"/>
      <c r="GY46" s="16"/>
      <c r="GZ46" s="16"/>
      <c r="HA46" s="16"/>
      <c r="HB46" s="16"/>
      <c r="HC46" s="16"/>
      <c r="HD46" s="16"/>
      <c r="HE46" s="16"/>
      <c r="HF46" s="16"/>
      <c r="HG46" s="16"/>
      <c r="HH46" s="16"/>
      <c r="HI46" s="16"/>
      <c r="HJ46" s="16"/>
      <c r="HK46" s="16"/>
      <c r="HL46" s="16"/>
      <c r="HM46" s="16"/>
      <c r="HN46" s="16"/>
      <c r="HO46" s="16"/>
      <c r="HP46" s="16"/>
      <c r="HQ46" s="16"/>
      <c r="HR46" s="16"/>
      <c r="HS46" s="16"/>
      <c r="HT46" s="16"/>
      <c r="HU46" s="16"/>
      <c r="HV46" s="16"/>
      <c r="HW46" s="16"/>
      <c r="HX46" s="16"/>
      <c r="HY46" s="16"/>
      <c r="HZ46" s="16"/>
      <c r="IA46" s="16"/>
      <c r="IB46" s="16"/>
      <c r="IC46" s="16"/>
      <c r="ID46" s="16"/>
      <c r="IE46" s="16"/>
      <c r="IF46" s="16"/>
      <c r="IG46" s="16"/>
      <c r="IH46" s="16"/>
      <c r="II46" s="16"/>
      <c r="IJ46" s="16"/>
      <c r="IK46" s="16"/>
      <c r="IL46" s="16"/>
      <c r="IM46" s="16"/>
      <c r="IN46" s="16"/>
      <c r="IO46" s="16"/>
      <c r="IP46" s="16"/>
      <c r="IQ46" s="16"/>
      <c r="IR46" s="16"/>
      <c r="IS46" s="16"/>
      <c r="IT46" s="16"/>
      <c r="IU46" s="16"/>
      <c r="IV46" s="16"/>
      <c r="IW46" s="16"/>
      <c r="IX46" s="16"/>
      <c r="IY46" s="16"/>
      <c r="IZ46" s="16"/>
      <c r="JA46" s="16"/>
      <c r="JB46" s="16"/>
      <c r="JC46" s="16"/>
      <c r="JD46" s="16"/>
      <c r="JE46" s="16"/>
      <c r="JF46" s="16"/>
      <c r="JG46" s="16"/>
      <c r="JH46" s="16"/>
      <c r="JI46" s="16"/>
      <c r="JJ46" s="16"/>
      <c r="JK46" s="16"/>
      <c r="JL46" s="16"/>
      <c r="JM46" s="16"/>
      <c r="JN46" s="16"/>
      <c r="JO46" s="16"/>
      <c r="JP46" s="16"/>
      <c r="JQ46" s="16"/>
      <c r="JR46" s="16"/>
      <c r="JS46" s="16"/>
      <c r="JT46" s="16"/>
      <c r="JU46" s="16"/>
      <c r="JV46" s="16"/>
      <c r="JW46" s="16"/>
      <c r="JX46" s="16"/>
      <c r="JY46" s="16"/>
      <c r="JZ46" s="16"/>
      <c r="KA46" s="16"/>
      <c r="KB46" s="16"/>
      <c r="KC46" s="16"/>
      <c r="KD46" s="16"/>
      <c r="KE46" s="16"/>
      <c r="KF46" s="16"/>
      <c r="KG46" s="16"/>
      <c r="KH46" s="16"/>
      <c r="KI46" s="16"/>
      <c r="KJ46" s="16"/>
      <c r="KK46" s="16"/>
      <c r="KL46" s="16"/>
      <c r="KM46" s="16"/>
      <c r="KN46" s="16"/>
      <c r="KO46" s="16"/>
      <c r="KP46" s="16"/>
      <c r="KQ46" s="16"/>
      <c r="KR46" s="16"/>
      <c r="KS46" s="16"/>
      <c r="KT46" s="16"/>
      <c r="KU46" s="16"/>
      <c r="KV46" s="16"/>
      <c r="KW46" s="16"/>
      <c r="KX46" s="16"/>
      <c r="KY46" s="16"/>
      <c r="KZ46" s="16"/>
      <c r="LA46" s="16"/>
      <c r="LB46" s="16"/>
      <c r="LC46" s="16"/>
      <c r="LD46" s="16"/>
      <c r="LE46" s="16"/>
      <c r="LF46" s="16"/>
      <c r="LG46" s="16"/>
      <c r="LH46" s="16"/>
      <c r="LI46" s="16"/>
      <c r="LJ46" s="16"/>
      <c r="LK46" s="16"/>
      <c r="LL46" s="16"/>
      <c r="LM46" s="16"/>
      <c r="LN46" s="16"/>
      <c r="LO46" s="16"/>
      <c r="LP46" s="16"/>
      <c r="LQ46" s="16"/>
      <c r="LR46" s="16"/>
    </row>
    <row r="47" spans="3:358" ht="30" customHeight="1" thickBot="1" x14ac:dyDescent="0.3">
      <c r="C47" s="74" t="s">
        <v>65</v>
      </c>
      <c r="D47" s="68" t="s">
        <v>17</v>
      </c>
      <c r="E47" s="72">
        <f>E46</f>
        <v>45869</v>
      </c>
      <c r="F47" s="73">
        <f>F46</f>
        <v>45962</v>
      </c>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6"/>
      <c r="IE47" s="16"/>
      <c r="IF47" s="16"/>
      <c r="IG47" s="16"/>
      <c r="IH47" s="16"/>
      <c r="II47" s="16"/>
      <c r="IJ47" s="16"/>
      <c r="IK47" s="16"/>
      <c r="IL47" s="16"/>
      <c r="IM47" s="16"/>
      <c r="IN47" s="16"/>
      <c r="IO47" s="16"/>
      <c r="IP47" s="16"/>
      <c r="IQ47" s="16"/>
      <c r="IR47" s="16"/>
      <c r="IS47" s="16"/>
      <c r="IT47" s="16"/>
      <c r="IU47" s="16"/>
      <c r="IV47" s="16"/>
      <c r="IW47" s="16"/>
      <c r="IX47" s="16"/>
      <c r="IY47" s="16"/>
      <c r="IZ47" s="16"/>
      <c r="JA47" s="16"/>
      <c r="JB47" s="16"/>
      <c r="JC47" s="16"/>
      <c r="JD47" s="16"/>
      <c r="JE47" s="16"/>
      <c r="JF47" s="16"/>
      <c r="JG47" s="16"/>
      <c r="JH47" s="16"/>
      <c r="JI47" s="16"/>
      <c r="JJ47" s="16"/>
      <c r="JK47" s="16"/>
      <c r="JL47" s="16"/>
      <c r="JM47" s="16"/>
      <c r="JN47" s="16"/>
      <c r="JO47" s="16"/>
      <c r="JP47" s="16"/>
      <c r="JQ47" s="16"/>
      <c r="JR47" s="16"/>
      <c r="JS47" s="16"/>
      <c r="JT47" s="16"/>
      <c r="JU47" s="16"/>
      <c r="JV47" s="16"/>
      <c r="JW47" s="16"/>
      <c r="JX47" s="16"/>
      <c r="JY47" s="16"/>
      <c r="JZ47" s="16"/>
      <c r="KA47" s="16"/>
      <c r="KB47" s="16"/>
      <c r="KC47" s="16"/>
      <c r="KD47" s="16"/>
      <c r="KE47" s="16"/>
      <c r="KF47" s="16"/>
      <c r="KG47" s="16"/>
      <c r="KH47" s="16"/>
      <c r="KI47" s="16"/>
      <c r="KJ47" s="16"/>
      <c r="KK47" s="16"/>
      <c r="KL47" s="16"/>
      <c r="KM47" s="16"/>
      <c r="KN47" s="16"/>
      <c r="KO47" s="16"/>
      <c r="KP47" s="16"/>
      <c r="KQ47" s="16"/>
      <c r="KR47" s="16"/>
      <c r="KS47" s="16"/>
      <c r="KT47" s="16"/>
      <c r="KU47" s="16"/>
      <c r="KV47" s="16"/>
      <c r="KW47" s="16"/>
      <c r="KX47" s="16"/>
      <c r="KY47" s="16"/>
      <c r="KZ47" s="16"/>
      <c r="LA47" s="16"/>
      <c r="LB47" s="16"/>
      <c r="LC47" s="16"/>
      <c r="LD47" s="16"/>
      <c r="LE47" s="16"/>
      <c r="LF47" s="16"/>
      <c r="LG47" s="16"/>
      <c r="LH47" s="16"/>
      <c r="LI47" s="16"/>
      <c r="LJ47" s="16"/>
      <c r="LK47" s="16"/>
      <c r="LL47" s="16"/>
      <c r="LM47" s="16"/>
      <c r="LN47" s="16"/>
      <c r="LO47" s="16"/>
      <c r="LP47" s="16"/>
      <c r="LQ47" s="16"/>
      <c r="LR47" s="16"/>
    </row>
    <row r="48" spans="3:358" ht="30" customHeight="1" thickBot="1" x14ac:dyDescent="0.3">
      <c r="C48" s="67" t="s">
        <v>66</v>
      </c>
      <c r="D48" s="68" t="s">
        <v>17</v>
      </c>
      <c r="E48" s="69">
        <v>45936</v>
      </c>
      <c r="F48" s="69">
        <v>45981</v>
      </c>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c r="GP48" s="16"/>
      <c r="GQ48" s="16"/>
      <c r="GR48" s="16"/>
      <c r="GS48" s="16"/>
      <c r="GT48" s="16"/>
      <c r="GU48" s="16"/>
      <c r="GV48" s="16"/>
      <c r="GW48" s="16"/>
      <c r="GX48" s="16"/>
      <c r="GY48" s="16"/>
      <c r="GZ48" s="16"/>
      <c r="HA48" s="16"/>
      <c r="HB48" s="16"/>
      <c r="HC48" s="16"/>
      <c r="HD48" s="16"/>
      <c r="HE48" s="16"/>
      <c r="HF48" s="16"/>
      <c r="HG48" s="16"/>
      <c r="HH48" s="16"/>
      <c r="HI48" s="16"/>
      <c r="HJ48" s="16"/>
      <c r="HK48" s="16"/>
      <c r="HL48" s="16"/>
      <c r="HM48" s="16"/>
      <c r="HN48" s="16"/>
      <c r="HO48" s="16"/>
      <c r="HP48" s="16"/>
      <c r="HQ48" s="16"/>
      <c r="HR48" s="16"/>
      <c r="HS48" s="16"/>
      <c r="HT48" s="16"/>
      <c r="HU48" s="16"/>
      <c r="HV48" s="16"/>
      <c r="HW48" s="16"/>
      <c r="HX48" s="16"/>
      <c r="HY48" s="16"/>
      <c r="HZ48" s="16"/>
      <c r="IA48" s="16"/>
      <c r="IB48" s="16"/>
      <c r="IC48" s="16"/>
      <c r="ID48" s="16"/>
      <c r="IE48" s="16"/>
      <c r="IF48" s="16"/>
      <c r="IG48" s="16"/>
      <c r="IH48" s="16"/>
      <c r="II48" s="16"/>
      <c r="IJ48" s="16"/>
      <c r="IK48" s="16"/>
      <c r="IL48" s="16"/>
      <c r="IM48" s="16"/>
      <c r="IN48" s="16"/>
      <c r="IO48" s="16"/>
      <c r="IP48" s="16"/>
      <c r="IQ48" s="16"/>
      <c r="IR48" s="16"/>
      <c r="IS48" s="16"/>
      <c r="IT48" s="16"/>
      <c r="IU48" s="16"/>
      <c r="IV48" s="16"/>
      <c r="IW48" s="16"/>
      <c r="IX48" s="16"/>
      <c r="IY48" s="16"/>
      <c r="IZ48" s="16"/>
      <c r="JA48" s="16"/>
      <c r="JB48" s="16"/>
      <c r="JC48" s="16"/>
      <c r="JD48" s="16"/>
      <c r="JE48" s="16"/>
      <c r="JF48" s="16"/>
      <c r="JG48" s="16"/>
      <c r="JH48" s="16"/>
      <c r="JI48" s="16"/>
      <c r="JJ48" s="16"/>
      <c r="JK48" s="16"/>
      <c r="JL48" s="16"/>
      <c r="JM48" s="16"/>
      <c r="JN48" s="16"/>
      <c r="JO48" s="16"/>
      <c r="JP48" s="16"/>
      <c r="JQ48" s="16"/>
      <c r="JR48" s="16"/>
      <c r="JS48" s="16"/>
      <c r="JT48" s="16"/>
      <c r="JU48" s="16"/>
      <c r="JV48" s="16"/>
      <c r="JW48" s="16"/>
      <c r="JX48" s="16"/>
      <c r="JY48" s="16"/>
      <c r="JZ48" s="16"/>
      <c r="KA48" s="16"/>
      <c r="KB48" s="16"/>
      <c r="KC48" s="16"/>
      <c r="KD48" s="16"/>
      <c r="KE48" s="16"/>
      <c r="KF48" s="16"/>
      <c r="KG48" s="16"/>
      <c r="KH48" s="16"/>
      <c r="KI48" s="16"/>
      <c r="KJ48" s="16"/>
      <c r="KK48" s="16"/>
      <c r="KL48" s="16"/>
      <c r="KM48" s="16"/>
      <c r="KN48" s="16"/>
      <c r="KO48" s="16"/>
      <c r="KP48" s="16"/>
      <c r="KQ48" s="16"/>
      <c r="KR48" s="16"/>
      <c r="KS48" s="16"/>
      <c r="KT48" s="16"/>
      <c r="KU48" s="16"/>
      <c r="KV48" s="16"/>
      <c r="KW48" s="16"/>
      <c r="KX48" s="16"/>
      <c r="KY48" s="16"/>
      <c r="KZ48" s="16"/>
      <c r="LA48" s="16"/>
      <c r="LB48" s="16"/>
      <c r="LC48" s="16"/>
      <c r="LD48" s="16"/>
      <c r="LE48" s="16"/>
      <c r="LF48" s="16"/>
      <c r="LG48" s="16"/>
      <c r="LH48" s="16"/>
      <c r="LI48" s="16"/>
      <c r="LJ48" s="16"/>
      <c r="LK48" s="16"/>
      <c r="LL48" s="16"/>
      <c r="LM48" s="16"/>
      <c r="LN48" s="16"/>
      <c r="LO48" s="16"/>
      <c r="LP48" s="16"/>
      <c r="LQ48" s="16"/>
      <c r="LR48" s="16"/>
    </row>
    <row r="49" spans="3:330" ht="30" customHeight="1" thickBot="1" x14ac:dyDescent="0.3">
      <c r="C49" s="12" t="s">
        <v>67</v>
      </c>
      <c r="D49" s="27"/>
      <c r="E49" s="39"/>
      <c r="F49" s="40"/>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c r="IZ49" s="16"/>
      <c r="JA49" s="16"/>
      <c r="JB49" s="16"/>
      <c r="JC49" s="16"/>
      <c r="JD49" s="16"/>
      <c r="JE49" s="16"/>
      <c r="JF49" s="16"/>
      <c r="JG49" s="16"/>
      <c r="JH49" s="16"/>
      <c r="JI49" s="16"/>
      <c r="JJ49" s="16"/>
      <c r="JK49" s="16"/>
      <c r="JL49" s="16"/>
      <c r="JM49" s="16"/>
      <c r="JN49" s="16"/>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16"/>
      <c r="LA49" s="16"/>
      <c r="LB49" s="16"/>
      <c r="LC49" s="16"/>
      <c r="LD49" s="16"/>
      <c r="LE49" s="16"/>
      <c r="LF49" s="16"/>
      <c r="LG49" s="16"/>
      <c r="LH49" s="16"/>
      <c r="LI49" s="16"/>
      <c r="LJ49" s="16"/>
      <c r="LK49" s="16"/>
      <c r="LL49" s="16"/>
      <c r="LM49" s="16"/>
      <c r="LN49" s="16"/>
      <c r="LO49" s="16"/>
      <c r="LP49" s="16"/>
      <c r="LQ49" s="16"/>
      <c r="LR49" s="16"/>
    </row>
    <row r="50" spans="3:330" ht="43.15" customHeight="1" thickBot="1" x14ac:dyDescent="0.3">
      <c r="C50" s="53" t="s">
        <v>51</v>
      </c>
      <c r="D50" s="28" t="s">
        <v>17</v>
      </c>
      <c r="E50" s="41">
        <v>45866</v>
      </c>
      <c r="F50" s="41">
        <v>45877</v>
      </c>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c r="GP50" s="16"/>
      <c r="GQ50" s="16"/>
      <c r="GR50" s="16"/>
      <c r="GS50" s="16"/>
      <c r="GT50" s="16"/>
      <c r="GU50" s="16"/>
      <c r="GV50" s="16"/>
      <c r="GW50" s="16"/>
      <c r="GX50" s="16"/>
      <c r="GY50" s="16"/>
      <c r="GZ50" s="16"/>
      <c r="HA50" s="16"/>
      <c r="HB50" s="16"/>
      <c r="HC50" s="16"/>
      <c r="HD50" s="16"/>
      <c r="HE50" s="16"/>
      <c r="HF50" s="16"/>
      <c r="HG50" s="16"/>
      <c r="HH50" s="16"/>
      <c r="HI50" s="16"/>
      <c r="HJ50" s="16"/>
      <c r="HK50" s="16"/>
      <c r="HL50" s="16"/>
      <c r="HM50" s="16"/>
      <c r="HN50" s="16"/>
      <c r="HO50" s="16"/>
      <c r="HP50" s="16"/>
      <c r="HQ50" s="16"/>
      <c r="HR50" s="16"/>
      <c r="HS50" s="16"/>
      <c r="HT50" s="16"/>
      <c r="HU50" s="16"/>
      <c r="HV50" s="16"/>
      <c r="HW50" s="16"/>
      <c r="HX50" s="16"/>
      <c r="HY50" s="16"/>
      <c r="HZ50" s="16"/>
      <c r="IA50" s="16"/>
      <c r="IB50" s="16"/>
      <c r="IC50" s="16"/>
      <c r="ID50" s="16"/>
      <c r="IE50" s="16"/>
      <c r="IF50" s="16"/>
      <c r="IG50" s="16"/>
      <c r="IH50" s="16"/>
      <c r="II50" s="16"/>
      <c r="IJ50" s="16"/>
      <c r="IK50" s="16"/>
      <c r="IL50" s="16"/>
      <c r="IM50" s="16"/>
      <c r="IN50" s="16"/>
      <c r="IO50" s="16"/>
      <c r="IP50" s="16"/>
      <c r="IQ50" s="16"/>
      <c r="IR50" s="16"/>
      <c r="IS50" s="16"/>
      <c r="IT50" s="16"/>
      <c r="IU50" s="16"/>
      <c r="IV50" s="16"/>
      <c r="IW50" s="16"/>
      <c r="IX50" s="16"/>
      <c r="IY50" s="16"/>
      <c r="IZ50" s="16"/>
      <c r="JA50" s="16"/>
      <c r="JB50" s="16"/>
      <c r="JC50" s="16"/>
      <c r="JD50" s="16"/>
      <c r="JE50" s="16"/>
      <c r="JF50" s="16"/>
      <c r="JG50" s="16"/>
      <c r="JH50" s="16"/>
      <c r="JI50" s="16"/>
      <c r="JJ50" s="16"/>
      <c r="JK50" s="16"/>
      <c r="JL50" s="16"/>
      <c r="JM50" s="16"/>
      <c r="JN50" s="16"/>
      <c r="JO50" s="16"/>
      <c r="JP50" s="16"/>
      <c r="JQ50" s="16"/>
      <c r="JR50" s="16"/>
      <c r="JS50" s="16"/>
      <c r="JT50" s="16"/>
      <c r="JU50" s="16"/>
      <c r="JV50" s="16"/>
      <c r="JW50" s="16"/>
      <c r="JX50" s="16"/>
      <c r="JY50" s="16"/>
      <c r="JZ50" s="16"/>
      <c r="KA50" s="16"/>
      <c r="KB50" s="16"/>
      <c r="KC50" s="16"/>
      <c r="KD50" s="16"/>
      <c r="KE50" s="16"/>
      <c r="KF50" s="16"/>
      <c r="KG50" s="16"/>
      <c r="KH50" s="16"/>
      <c r="KI50" s="16"/>
      <c r="KJ50" s="16"/>
      <c r="KK50" s="16"/>
      <c r="KL50" s="16"/>
      <c r="KM50" s="16"/>
      <c r="KN50" s="16"/>
      <c r="KO50" s="16"/>
      <c r="KP50" s="16"/>
      <c r="KQ50" s="16"/>
      <c r="KR50" s="16"/>
      <c r="KS50" s="16"/>
      <c r="KT50" s="16"/>
      <c r="KU50" s="16"/>
      <c r="KV50" s="16"/>
      <c r="KW50" s="16"/>
      <c r="KX50" s="16"/>
      <c r="KY50" s="16"/>
      <c r="KZ50" s="16"/>
      <c r="LA50" s="16"/>
      <c r="LB50" s="16"/>
      <c r="LC50" s="16"/>
      <c r="LD50" s="16"/>
      <c r="LE50" s="16"/>
      <c r="LF50" s="16"/>
      <c r="LG50" s="16"/>
      <c r="LH50" s="16"/>
      <c r="LI50" s="16"/>
      <c r="LJ50" s="16"/>
      <c r="LK50" s="16"/>
      <c r="LL50" s="16"/>
      <c r="LM50" s="16"/>
      <c r="LN50" s="16"/>
      <c r="LO50" s="16"/>
      <c r="LP50" s="16"/>
      <c r="LQ50" s="16"/>
      <c r="LR50" s="16"/>
    </row>
    <row r="51" spans="3:330" ht="39.6" customHeight="1" thickBot="1" x14ac:dyDescent="0.3">
      <c r="C51" s="53" t="s">
        <v>52</v>
      </c>
      <c r="D51" s="28" t="s">
        <v>17</v>
      </c>
      <c r="E51" s="41">
        <f>F50+3</f>
        <v>45880</v>
      </c>
      <c r="F51" s="41">
        <v>45891</v>
      </c>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c r="GP51" s="16"/>
      <c r="GQ51" s="16"/>
      <c r="GR51" s="16"/>
      <c r="GS51" s="16"/>
      <c r="GT51" s="16"/>
      <c r="GU51" s="16"/>
      <c r="GV51" s="16"/>
      <c r="GW51" s="16"/>
      <c r="GX51" s="16"/>
      <c r="GY51" s="16"/>
      <c r="GZ51" s="16"/>
      <c r="HA51" s="16"/>
      <c r="HB51" s="16"/>
      <c r="HC51" s="16"/>
      <c r="HD51" s="16"/>
      <c r="HE51" s="16"/>
      <c r="HF51" s="16"/>
      <c r="HG51" s="16"/>
      <c r="HH51" s="16"/>
      <c r="HI51" s="16"/>
      <c r="HJ51" s="16"/>
      <c r="HK51" s="16"/>
      <c r="HL51" s="16"/>
      <c r="HM51" s="16"/>
      <c r="HN51" s="16"/>
      <c r="HO51" s="16"/>
      <c r="HP51" s="16"/>
      <c r="HQ51" s="16"/>
      <c r="HR51" s="16"/>
      <c r="HS51" s="16"/>
      <c r="HT51" s="16"/>
      <c r="HU51" s="16"/>
      <c r="HV51" s="16"/>
      <c r="HW51" s="16"/>
      <c r="HX51" s="16"/>
      <c r="HY51" s="16"/>
      <c r="HZ51" s="16"/>
      <c r="IA51" s="16"/>
      <c r="IB51" s="16"/>
      <c r="IC51" s="16"/>
      <c r="ID51" s="16"/>
      <c r="IE51" s="16"/>
      <c r="IF51" s="16"/>
      <c r="IG51" s="16"/>
      <c r="IH51" s="16"/>
      <c r="II51" s="16"/>
      <c r="IJ51" s="16"/>
      <c r="IK51" s="16"/>
      <c r="IL51" s="16"/>
      <c r="IM51" s="16"/>
      <c r="IN51" s="16"/>
      <c r="IO51" s="16"/>
      <c r="IP51" s="16"/>
      <c r="IQ51" s="16"/>
      <c r="IR51" s="16"/>
      <c r="IS51" s="16"/>
      <c r="IT51" s="16"/>
      <c r="IU51" s="16"/>
      <c r="IV51" s="16"/>
      <c r="IW51" s="16"/>
      <c r="IX51" s="16"/>
      <c r="IY51" s="16"/>
      <c r="IZ51" s="16"/>
      <c r="JA51" s="16"/>
      <c r="JB51" s="16"/>
      <c r="JC51" s="16"/>
      <c r="JD51" s="16"/>
      <c r="JE51" s="16"/>
      <c r="JF51" s="16"/>
      <c r="JG51" s="16"/>
      <c r="JH51" s="16"/>
      <c r="JI51" s="16"/>
      <c r="JJ51" s="16"/>
      <c r="JK51" s="16"/>
      <c r="JL51" s="16"/>
      <c r="JM51" s="16"/>
      <c r="JN51" s="16"/>
      <c r="JO51" s="16"/>
      <c r="JP51" s="16"/>
      <c r="JQ51" s="16"/>
      <c r="JR51" s="16"/>
      <c r="JS51" s="16"/>
      <c r="JT51" s="16"/>
      <c r="JU51" s="16"/>
      <c r="JV51" s="16"/>
      <c r="JW51" s="16"/>
      <c r="JX51" s="16"/>
      <c r="JY51" s="16"/>
      <c r="JZ51" s="16"/>
      <c r="KA51" s="16"/>
      <c r="KB51" s="16"/>
      <c r="KC51" s="16"/>
      <c r="KD51" s="16"/>
      <c r="KE51" s="16"/>
      <c r="KF51" s="16"/>
      <c r="KG51" s="16"/>
      <c r="KH51" s="16"/>
      <c r="KI51" s="16"/>
      <c r="KJ51" s="16"/>
      <c r="KK51" s="16"/>
      <c r="KL51" s="16"/>
      <c r="KM51" s="16"/>
      <c r="KN51" s="16"/>
      <c r="KO51" s="16"/>
      <c r="KP51" s="16"/>
      <c r="KQ51" s="16"/>
      <c r="KR51" s="16"/>
      <c r="KS51" s="16"/>
      <c r="KT51" s="16"/>
      <c r="KU51" s="16"/>
      <c r="KV51" s="16"/>
      <c r="KW51" s="16"/>
      <c r="KX51" s="16"/>
      <c r="KY51" s="16"/>
      <c r="KZ51" s="16"/>
      <c r="LA51" s="16"/>
      <c r="LB51" s="16"/>
      <c r="LC51" s="16"/>
      <c r="LD51" s="16"/>
      <c r="LE51" s="16"/>
      <c r="LF51" s="16"/>
      <c r="LG51" s="16"/>
      <c r="LH51" s="16"/>
      <c r="LI51" s="16"/>
      <c r="LJ51" s="16"/>
      <c r="LK51" s="16"/>
      <c r="LL51" s="16"/>
      <c r="LM51" s="16"/>
      <c r="LN51" s="16"/>
      <c r="LO51" s="16"/>
      <c r="LP51" s="16"/>
      <c r="LQ51" s="16"/>
      <c r="LR51" s="16"/>
    </row>
    <row r="52" spans="3:330" ht="30" customHeight="1" thickBot="1" x14ac:dyDescent="0.3">
      <c r="C52" s="13" t="s">
        <v>68</v>
      </c>
      <c r="D52" s="29"/>
      <c r="E52" s="42"/>
      <c r="F52" s="43"/>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c r="GP52" s="16"/>
      <c r="GQ52" s="16"/>
      <c r="GR52" s="16"/>
      <c r="GS52" s="16"/>
      <c r="GT52" s="16"/>
      <c r="GU52" s="16"/>
      <c r="GV52" s="16"/>
      <c r="GW52" s="16"/>
      <c r="GX52" s="16"/>
      <c r="GY52" s="16"/>
      <c r="GZ52" s="16"/>
      <c r="HA52" s="16"/>
      <c r="HB52" s="16"/>
      <c r="HC52" s="16"/>
      <c r="HD52" s="16"/>
      <c r="HE52" s="16"/>
      <c r="HF52" s="16"/>
      <c r="HG52" s="16"/>
      <c r="HH52" s="16"/>
      <c r="HI52" s="16"/>
      <c r="HJ52" s="16"/>
      <c r="HK52" s="16"/>
      <c r="HL52" s="16"/>
      <c r="HM52" s="16"/>
      <c r="HN52" s="16"/>
      <c r="HO52" s="16"/>
      <c r="HP52" s="16"/>
      <c r="HQ52" s="16"/>
      <c r="HR52" s="16"/>
      <c r="HS52" s="16"/>
      <c r="HT52" s="16"/>
      <c r="HU52" s="16"/>
      <c r="HV52" s="16"/>
      <c r="HW52" s="16"/>
      <c r="HX52" s="16"/>
      <c r="HY52" s="16"/>
      <c r="HZ52" s="16"/>
      <c r="IA52" s="16"/>
      <c r="IB52" s="16"/>
      <c r="IC52" s="16"/>
      <c r="ID52" s="16"/>
      <c r="IE52" s="16"/>
      <c r="IF52" s="16"/>
      <c r="IG52" s="16"/>
      <c r="IH52" s="16"/>
      <c r="II52" s="16"/>
      <c r="IJ52" s="16"/>
      <c r="IK52" s="16"/>
      <c r="IL52" s="16"/>
      <c r="IM52" s="16"/>
      <c r="IN52" s="16"/>
      <c r="IO52" s="16"/>
      <c r="IP52" s="16"/>
      <c r="IQ52" s="16"/>
      <c r="IR52" s="16"/>
      <c r="IS52" s="16"/>
      <c r="IT52" s="16"/>
      <c r="IU52" s="16"/>
      <c r="IV52" s="16"/>
      <c r="IW52" s="16"/>
      <c r="IX52" s="16"/>
      <c r="IY52" s="16"/>
      <c r="IZ52" s="16"/>
      <c r="JA52" s="16"/>
      <c r="JB52" s="16"/>
      <c r="JC52" s="16"/>
      <c r="JD52" s="16"/>
      <c r="JE52" s="16"/>
      <c r="JF52" s="16"/>
      <c r="JG52" s="16"/>
      <c r="JH52" s="16"/>
      <c r="JI52" s="16"/>
      <c r="JJ52" s="16"/>
      <c r="JK52" s="16"/>
      <c r="JL52" s="16"/>
      <c r="JM52" s="16"/>
      <c r="JN52" s="16"/>
      <c r="JO52" s="16"/>
      <c r="JP52" s="16"/>
      <c r="JQ52" s="16"/>
      <c r="JR52" s="16"/>
      <c r="JS52" s="16"/>
      <c r="JT52" s="16"/>
      <c r="JU52" s="16"/>
      <c r="JV52" s="16"/>
      <c r="JW52" s="16"/>
      <c r="JX52" s="16"/>
      <c r="JY52" s="16"/>
      <c r="JZ52" s="16"/>
      <c r="KA52" s="16"/>
      <c r="KB52" s="16"/>
      <c r="KC52" s="16"/>
      <c r="KD52" s="16"/>
      <c r="KE52" s="16"/>
      <c r="KF52" s="16"/>
      <c r="KG52" s="16"/>
      <c r="KH52" s="16"/>
      <c r="KI52" s="16"/>
      <c r="KJ52" s="16"/>
      <c r="KK52" s="16"/>
      <c r="KL52" s="16"/>
      <c r="KM52" s="16"/>
      <c r="KN52" s="16"/>
      <c r="KO52" s="16"/>
      <c r="KP52" s="16"/>
      <c r="KQ52" s="16"/>
      <c r="KR52" s="16"/>
      <c r="KS52" s="16"/>
      <c r="KT52" s="16"/>
      <c r="KU52" s="16"/>
      <c r="KV52" s="16"/>
      <c r="KW52" s="16"/>
      <c r="KX52" s="16"/>
      <c r="KY52" s="16"/>
      <c r="KZ52" s="16"/>
      <c r="LA52" s="16"/>
      <c r="LB52" s="16"/>
      <c r="LC52" s="16"/>
      <c r="LD52" s="16"/>
      <c r="LE52" s="16"/>
      <c r="LF52" s="16"/>
      <c r="LG52" s="16"/>
      <c r="LH52" s="16"/>
      <c r="LI52" s="16"/>
      <c r="LJ52" s="16"/>
      <c r="LK52" s="16"/>
      <c r="LL52" s="16"/>
      <c r="LM52" s="16"/>
      <c r="LN52" s="16"/>
      <c r="LO52" s="16"/>
      <c r="LP52" s="16"/>
      <c r="LQ52" s="16"/>
      <c r="LR52" s="16"/>
    </row>
    <row r="53" spans="3:330" ht="30" customHeight="1" thickBot="1" x14ac:dyDescent="0.3">
      <c r="C53" s="55" t="s">
        <v>69</v>
      </c>
      <c r="D53" s="30" t="s">
        <v>17</v>
      </c>
      <c r="E53" s="44">
        <f>F51+3</f>
        <v>45894</v>
      </c>
      <c r="F53" s="44">
        <f>E53+4</f>
        <v>45898</v>
      </c>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c r="GP53" s="16"/>
      <c r="GQ53" s="16"/>
      <c r="GR53" s="16"/>
      <c r="GS53" s="16"/>
      <c r="GT53" s="16"/>
      <c r="GU53" s="16"/>
      <c r="GV53" s="16"/>
      <c r="GW53" s="16"/>
      <c r="GX53" s="16"/>
      <c r="GY53" s="16"/>
      <c r="GZ53" s="16"/>
      <c r="HA53" s="16"/>
      <c r="HB53" s="16"/>
      <c r="HC53" s="16"/>
      <c r="HD53" s="16"/>
      <c r="HE53" s="16"/>
      <c r="HF53" s="16"/>
      <c r="HG53" s="16"/>
      <c r="HH53" s="16"/>
      <c r="HI53" s="16"/>
      <c r="HJ53" s="16"/>
      <c r="HK53" s="16"/>
      <c r="HL53" s="16"/>
      <c r="HM53" s="16"/>
      <c r="HN53" s="16"/>
      <c r="HO53" s="16"/>
      <c r="HP53" s="16"/>
      <c r="HQ53" s="16"/>
      <c r="HR53" s="16"/>
      <c r="HS53" s="16"/>
      <c r="HT53" s="16"/>
      <c r="HU53" s="16"/>
      <c r="HV53" s="16"/>
      <c r="HW53" s="16"/>
      <c r="HX53" s="16"/>
      <c r="HY53" s="16"/>
      <c r="HZ53" s="16"/>
      <c r="IA53" s="16"/>
      <c r="IB53" s="16"/>
      <c r="IC53" s="16"/>
      <c r="ID53" s="16"/>
      <c r="IE53" s="16"/>
      <c r="IF53" s="16"/>
      <c r="IG53" s="16"/>
      <c r="IH53" s="16"/>
      <c r="II53" s="16"/>
      <c r="IJ53" s="16"/>
      <c r="IK53" s="16"/>
      <c r="IL53" s="16"/>
      <c r="IM53" s="16"/>
      <c r="IN53" s="16"/>
      <c r="IO53" s="16"/>
      <c r="IP53" s="16"/>
      <c r="IQ53" s="16"/>
      <c r="IR53" s="16"/>
      <c r="IS53" s="16"/>
      <c r="IT53" s="16"/>
      <c r="IU53" s="16"/>
      <c r="IV53" s="16"/>
      <c r="IW53" s="16"/>
      <c r="IX53" s="16"/>
      <c r="IY53" s="16"/>
      <c r="IZ53" s="16"/>
      <c r="JA53" s="16"/>
      <c r="JB53" s="16"/>
      <c r="JC53" s="16"/>
      <c r="JD53" s="16"/>
      <c r="JE53" s="16"/>
      <c r="JF53" s="16"/>
      <c r="JG53" s="16"/>
      <c r="JH53" s="16"/>
      <c r="JI53" s="16"/>
      <c r="JJ53" s="16"/>
      <c r="JK53" s="16"/>
      <c r="JL53" s="16"/>
      <c r="JM53" s="16"/>
      <c r="JN53" s="16"/>
      <c r="JO53" s="16"/>
      <c r="JP53" s="16"/>
      <c r="JQ53" s="16"/>
      <c r="JR53" s="16"/>
      <c r="JS53" s="16"/>
      <c r="JT53" s="16"/>
      <c r="JU53" s="16"/>
      <c r="JV53" s="16"/>
      <c r="JW53" s="16"/>
      <c r="JX53" s="16"/>
      <c r="JY53" s="16"/>
      <c r="JZ53" s="16"/>
      <c r="KA53" s="16"/>
      <c r="KB53" s="16"/>
      <c r="KC53" s="16"/>
      <c r="KD53" s="16"/>
      <c r="KE53" s="16"/>
      <c r="KF53" s="16"/>
      <c r="KG53" s="16"/>
      <c r="KH53" s="16"/>
      <c r="KI53" s="16"/>
      <c r="KJ53" s="16"/>
      <c r="KK53" s="16"/>
      <c r="KL53" s="16"/>
      <c r="KM53" s="16"/>
      <c r="KN53" s="16"/>
      <c r="KO53" s="16"/>
      <c r="KP53" s="16"/>
      <c r="KQ53" s="16"/>
      <c r="KR53" s="16"/>
      <c r="KS53" s="16"/>
      <c r="KT53" s="16"/>
      <c r="KU53" s="16"/>
      <c r="KV53" s="16"/>
      <c r="KW53" s="16"/>
      <c r="KX53" s="16"/>
      <c r="KY53" s="16"/>
      <c r="KZ53" s="16"/>
      <c r="LA53" s="16"/>
      <c r="LB53" s="16"/>
      <c r="LC53" s="16"/>
      <c r="LD53" s="16"/>
      <c r="LE53" s="16"/>
      <c r="LF53" s="16"/>
      <c r="LG53" s="16"/>
      <c r="LH53" s="16"/>
      <c r="LI53" s="16"/>
      <c r="LJ53" s="16"/>
      <c r="LK53" s="16"/>
      <c r="LL53" s="16"/>
      <c r="LM53" s="16"/>
      <c r="LN53" s="16"/>
      <c r="LO53" s="16"/>
      <c r="LP53" s="16"/>
      <c r="LQ53" s="16"/>
      <c r="LR53" s="16"/>
    </row>
    <row r="54" spans="3:330" ht="30" customHeight="1" thickBot="1" x14ac:dyDescent="0.3">
      <c r="C54" s="55" t="s">
        <v>70</v>
      </c>
      <c r="D54" s="30" t="s">
        <v>17</v>
      </c>
      <c r="E54" s="44">
        <f>F53+3</f>
        <v>45901</v>
      </c>
      <c r="F54" s="44">
        <f>E54+8</f>
        <v>45909</v>
      </c>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6"/>
      <c r="IY54" s="16"/>
      <c r="IZ54" s="16"/>
      <c r="JA54" s="16"/>
      <c r="JB54" s="16"/>
      <c r="JC54" s="16"/>
      <c r="JD54" s="16"/>
      <c r="JE54" s="16"/>
      <c r="JF54" s="16"/>
      <c r="JG54" s="16"/>
      <c r="JH54" s="16"/>
      <c r="JI54" s="16"/>
      <c r="JJ54" s="16"/>
      <c r="JK54" s="16"/>
      <c r="JL54" s="16"/>
      <c r="JM54" s="16"/>
      <c r="JN54" s="16"/>
      <c r="JO54" s="16"/>
      <c r="JP54" s="16"/>
      <c r="JQ54" s="16"/>
      <c r="JR54" s="16"/>
      <c r="JS54" s="16"/>
      <c r="JT54" s="16"/>
      <c r="JU54" s="16"/>
      <c r="JV54" s="16"/>
      <c r="JW54" s="16"/>
      <c r="JX54" s="16"/>
      <c r="JY54" s="16"/>
      <c r="JZ54" s="16"/>
      <c r="KA54" s="16"/>
      <c r="KB54" s="16"/>
      <c r="KC54" s="16"/>
      <c r="KD54" s="16"/>
      <c r="KE54" s="16"/>
      <c r="KF54" s="16"/>
      <c r="KG54" s="16"/>
      <c r="KH54" s="16"/>
      <c r="KI54" s="16"/>
      <c r="KJ54" s="16"/>
      <c r="KK54" s="16"/>
      <c r="KL54" s="16"/>
      <c r="KM54" s="16"/>
      <c r="KN54" s="16"/>
      <c r="KO54" s="16"/>
      <c r="KP54" s="16"/>
      <c r="KQ54" s="16"/>
      <c r="KR54" s="16"/>
      <c r="KS54" s="16"/>
      <c r="KT54" s="16"/>
      <c r="KU54" s="16"/>
      <c r="KV54" s="16"/>
      <c r="KW54" s="16"/>
      <c r="KX54" s="16"/>
      <c r="KY54" s="16"/>
      <c r="KZ54" s="16"/>
      <c r="LA54" s="16"/>
      <c r="LB54" s="16"/>
      <c r="LC54" s="16"/>
      <c r="LD54" s="16"/>
      <c r="LE54" s="16"/>
      <c r="LF54" s="16"/>
      <c r="LG54" s="16"/>
      <c r="LH54" s="16"/>
      <c r="LI54" s="16"/>
      <c r="LJ54" s="16"/>
      <c r="LK54" s="16"/>
      <c r="LL54" s="16"/>
      <c r="LM54" s="16"/>
      <c r="LN54" s="16"/>
      <c r="LO54" s="16"/>
      <c r="LP54" s="16"/>
      <c r="LQ54" s="16"/>
      <c r="LR54" s="16"/>
    </row>
    <row r="55" spans="3:330" ht="30" customHeight="1" thickBot="1" x14ac:dyDescent="0.3">
      <c r="C55" s="14" t="s">
        <v>71</v>
      </c>
      <c r="D55" s="31"/>
      <c r="E55" s="45"/>
      <c r="F55" s="4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c r="GP55" s="16"/>
      <c r="GQ55" s="16"/>
      <c r="GR55" s="16"/>
      <c r="GS55" s="16"/>
      <c r="GT55" s="16"/>
      <c r="GU55" s="16"/>
      <c r="GV55" s="16"/>
      <c r="GW55" s="16"/>
      <c r="GX55" s="16"/>
      <c r="GY55" s="16"/>
      <c r="GZ55" s="16"/>
      <c r="HA55" s="16"/>
      <c r="HB55" s="16"/>
      <c r="HC55" s="16"/>
      <c r="HD55" s="16"/>
      <c r="HE55" s="16"/>
      <c r="HF55" s="16"/>
      <c r="HG55" s="16"/>
      <c r="HH55" s="16"/>
      <c r="HI55" s="16"/>
      <c r="HJ55" s="16"/>
      <c r="HK55" s="16"/>
      <c r="HL55" s="16"/>
      <c r="HM55" s="16"/>
      <c r="HN55" s="16"/>
      <c r="HO55" s="16"/>
      <c r="HP55" s="16"/>
      <c r="HQ55" s="16"/>
      <c r="HR55" s="16"/>
      <c r="HS55" s="16"/>
      <c r="HT55" s="16"/>
      <c r="HU55" s="16"/>
      <c r="HV55" s="16"/>
      <c r="HW55" s="16"/>
      <c r="HX55" s="16"/>
      <c r="HY55" s="16"/>
      <c r="HZ55" s="16"/>
      <c r="IA55" s="16"/>
      <c r="IB55" s="16"/>
      <c r="IC55" s="16"/>
      <c r="ID55" s="16"/>
      <c r="IE55" s="16"/>
      <c r="IF55" s="16"/>
      <c r="IG55" s="16"/>
      <c r="IH55" s="16"/>
      <c r="II55" s="16"/>
      <c r="IJ55" s="16"/>
      <c r="IK55" s="16"/>
      <c r="IL55" s="16"/>
      <c r="IM55" s="16"/>
      <c r="IN55" s="16"/>
      <c r="IO55" s="16"/>
      <c r="IP55" s="16"/>
      <c r="IQ55" s="16"/>
      <c r="IR55" s="16"/>
      <c r="IS55" s="16"/>
      <c r="IT55" s="16"/>
      <c r="IU55" s="16"/>
      <c r="IV55" s="16"/>
      <c r="IW55" s="16"/>
      <c r="IX55" s="16"/>
      <c r="IY55" s="16"/>
      <c r="IZ55" s="16"/>
      <c r="JA55" s="16"/>
      <c r="JB55" s="16"/>
      <c r="JC55" s="16"/>
      <c r="JD55" s="16"/>
      <c r="JE55" s="16"/>
      <c r="JF55" s="16"/>
      <c r="JG55" s="16"/>
      <c r="JH55" s="16"/>
      <c r="JI55" s="16"/>
      <c r="JJ55" s="16"/>
      <c r="JK55" s="16"/>
      <c r="JL55" s="16"/>
      <c r="JM55" s="16"/>
      <c r="JN55" s="16"/>
      <c r="JO55" s="16"/>
      <c r="JP55" s="16"/>
      <c r="JQ55" s="16"/>
      <c r="JR55" s="16"/>
      <c r="JS55" s="16"/>
      <c r="JT55" s="16"/>
      <c r="JU55" s="16"/>
      <c r="JV55" s="16"/>
      <c r="JW55" s="16"/>
      <c r="JX55" s="16"/>
      <c r="JY55" s="16"/>
      <c r="JZ55" s="16"/>
      <c r="KA55" s="16"/>
      <c r="KB55" s="16"/>
      <c r="KC55" s="16"/>
      <c r="KD55" s="16"/>
      <c r="KE55" s="16"/>
      <c r="KF55" s="16"/>
      <c r="KG55" s="16"/>
      <c r="KH55" s="16"/>
      <c r="KI55" s="16"/>
      <c r="KJ55" s="16"/>
      <c r="KK55" s="16"/>
      <c r="KL55" s="16"/>
      <c r="KM55" s="16"/>
      <c r="KN55" s="16"/>
      <c r="KO55" s="16"/>
      <c r="KP55" s="16"/>
      <c r="KQ55" s="16"/>
      <c r="KR55" s="16"/>
      <c r="KS55" s="16"/>
      <c r="KT55" s="16"/>
      <c r="KU55" s="16"/>
      <c r="KV55" s="16"/>
      <c r="KW55" s="16"/>
      <c r="KX55" s="16"/>
      <c r="KY55" s="16"/>
      <c r="KZ55" s="16"/>
      <c r="LA55" s="16"/>
      <c r="LB55" s="16"/>
      <c r="LC55" s="16"/>
      <c r="LD55" s="16"/>
      <c r="LE55" s="16"/>
      <c r="LF55" s="16"/>
      <c r="LG55" s="16"/>
      <c r="LH55" s="16"/>
      <c r="LI55" s="16"/>
      <c r="LJ55" s="16"/>
      <c r="LK55" s="16"/>
      <c r="LL55" s="16"/>
      <c r="LM55" s="16"/>
      <c r="LN55" s="16"/>
      <c r="LO55" s="16"/>
      <c r="LP55" s="16"/>
      <c r="LQ55" s="16"/>
      <c r="LR55" s="16"/>
    </row>
    <row r="56" spans="3:330" ht="30" customHeight="1" thickBot="1" x14ac:dyDescent="0.3">
      <c r="C56" s="56" t="s">
        <v>72</v>
      </c>
      <c r="D56" s="32" t="s">
        <v>17</v>
      </c>
      <c r="E56" s="47">
        <f>F54+3</f>
        <v>45912</v>
      </c>
      <c r="F56" s="47">
        <f>E56+8</f>
        <v>45920</v>
      </c>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3:330" ht="45" customHeight="1" thickBot="1" x14ac:dyDescent="0.3">
      <c r="C57" s="56" t="s">
        <v>73</v>
      </c>
      <c r="D57" s="32" t="s">
        <v>17</v>
      </c>
      <c r="E57" s="47">
        <f>F56+3</f>
        <v>45923</v>
      </c>
      <c r="F57" s="47">
        <f>E57+8</f>
        <v>45931</v>
      </c>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c r="GP57" s="16"/>
      <c r="GQ57" s="16"/>
      <c r="GR57" s="16"/>
      <c r="GS57" s="16"/>
      <c r="GT57" s="16"/>
      <c r="GU57" s="16"/>
      <c r="GV57" s="16"/>
      <c r="GW57" s="16"/>
      <c r="GX57" s="16"/>
      <c r="GY57" s="16"/>
      <c r="GZ57" s="16"/>
      <c r="HA57" s="16"/>
      <c r="HB57" s="16"/>
      <c r="HC57" s="16"/>
      <c r="HD57" s="16"/>
      <c r="HE57" s="16"/>
      <c r="HF57" s="16"/>
      <c r="HG57" s="16"/>
      <c r="HH57" s="16"/>
      <c r="HI57" s="16"/>
      <c r="HJ57" s="16"/>
      <c r="HK57" s="16"/>
      <c r="HL57" s="16"/>
      <c r="HM57" s="16"/>
      <c r="HN57" s="16"/>
      <c r="HO57" s="16"/>
      <c r="HP57" s="16"/>
      <c r="HQ57" s="16"/>
      <c r="HR57" s="16"/>
      <c r="HS57" s="16"/>
      <c r="HT57" s="16"/>
      <c r="HU57" s="16"/>
      <c r="HV57" s="16"/>
      <c r="HW57" s="16"/>
      <c r="HX57" s="16"/>
      <c r="HY57" s="16"/>
      <c r="HZ57" s="16"/>
      <c r="IA57" s="16"/>
      <c r="IB57" s="16"/>
      <c r="IC57" s="16"/>
      <c r="ID57" s="16"/>
      <c r="IE57" s="16"/>
      <c r="IF57" s="16"/>
      <c r="IG57" s="16"/>
      <c r="IH57" s="16"/>
      <c r="II57" s="16"/>
      <c r="IJ57" s="16"/>
      <c r="IK57" s="16"/>
      <c r="IL57" s="16"/>
      <c r="IM57" s="16"/>
      <c r="IN57" s="16"/>
      <c r="IO57" s="16"/>
      <c r="IP57" s="16"/>
      <c r="IQ57" s="16"/>
      <c r="IR57" s="16"/>
      <c r="IS57" s="16"/>
      <c r="IT57" s="16"/>
      <c r="IU57" s="16"/>
      <c r="IV57" s="16"/>
      <c r="IW57" s="16"/>
      <c r="IX57" s="16"/>
      <c r="IY57" s="16"/>
      <c r="IZ57" s="16"/>
      <c r="JA57" s="16"/>
      <c r="JB57" s="16"/>
      <c r="JC57" s="16"/>
      <c r="JD57" s="16"/>
      <c r="JE57" s="16"/>
      <c r="JF57" s="16"/>
      <c r="JG57" s="16"/>
      <c r="JH57" s="16"/>
      <c r="JI57" s="16"/>
      <c r="JJ57" s="16"/>
      <c r="JK57" s="16"/>
      <c r="JL57" s="16"/>
      <c r="JM57" s="16"/>
      <c r="JN57" s="16"/>
      <c r="JO57" s="16"/>
      <c r="JP57" s="16"/>
      <c r="JQ57" s="16"/>
      <c r="JR57" s="16"/>
      <c r="JS57" s="16"/>
      <c r="JT57" s="16"/>
      <c r="JU57" s="16"/>
      <c r="JV57" s="16"/>
      <c r="JW57" s="16"/>
      <c r="JX57" s="16"/>
      <c r="JY57" s="16"/>
      <c r="JZ57" s="16"/>
      <c r="KA57" s="16"/>
      <c r="KB57" s="16"/>
      <c r="KC57" s="16"/>
      <c r="KD57" s="16"/>
      <c r="KE57" s="16"/>
      <c r="KF57" s="16"/>
      <c r="KG57" s="16"/>
      <c r="KH57" s="16"/>
      <c r="KI57" s="16"/>
      <c r="KJ57" s="16"/>
      <c r="KK57" s="16"/>
      <c r="KL57" s="16"/>
    </row>
    <row r="58" spans="3:330" ht="38.450000000000003" customHeight="1" thickBot="1" x14ac:dyDescent="0.3">
      <c r="C58" s="56" t="s">
        <v>74</v>
      </c>
      <c r="D58" s="32" t="s">
        <v>17</v>
      </c>
      <c r="E58" s="47">
        <f>F57+3</f>
        <v>45934</v>
      </c>
      <c r="F58" s="47">
        <f>E58+4</f>
        <v>45938</v>
      </c>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c r="GP58" s="16"/>
      <c r="GQ58" s="16"/>
      <c r="GR58" s="16"/>
      <c r="GS58" s="16"/>
      <c r="GT58" s="16"/>
      <c r="GU58" s="16"/>
      <c r="GV58" s="16"/>
      <c r="GW58" s="16"/>
      <c r="GX58" s="16"/>
      <c r="GY58" s="16"/>
      <c r="GZ58" s="16"/>
      <c r="HA58" s="16"/>
      <c r="HB58" s="16"/>
      <c r="HC58" s="16"/>
      <c r="HD58" s="16"/>
      <c r="HE58" s="16"/>
      <c r="HF58" s="16"/>
      <c r="HG58" s="16"/>
      <c r="HH58" s="16"/>
      <c r="HI58" s="16"/>
      <c r="HJ58" s="16"/>
      <c r="HK58" s="16"/>
      <c r="HL58" s="16"/>
      <c r="HM58" s="16"/>
      <c r="HN58" s="16"/>
      <c r="HO58" s="16"/>
      <c r="HP58" s="16"/>
      <c r="HQ58" s="16"/>
      <c r="HR58" s="16"/>
      <c r="HS58" s="16"/>
      <c r="HT58" s="16"/>
      <c r="HU58" s="16"/>
      <c r="HV58" s="16"/>
      <c r="HW58" s="16"/>
      <c r="HX58" s="16"/>
      <c r="HY58" s="16"/>
      <c r="HZ58" s="16"/>
      <c r="IA58" s="16"/>
      <c r="IB58" s="16"/>
      <c r="IC58" s="16"/>
      <c r="ID58" s="16"/>
      <c r="IE58" s="16"/>
      <c r="IF58" s="16"/>
      <c r="IG58" s="16"/>
      <c r="IH58" s="16"/>
      <c r="II58" s="16"/>
      <c r="IJ58" s="16"/>
      <c r="IK58" s="16"/>
      <c r="IL58" s="16"/>
      <c r="IM58" s="16"/>
      <c r="IN58" s="16"/>
      <c r="IO58" s="16"/>
      <c r="IP58" s="16"/>
      <c r="IQ58" s="16"/>
      <c r="IR58" s="16"/>
      <c r="IS58" s="16"/>
      <c r="IT58" s="16"/>
      <c r="IU58" s="16"/>
      <c r="IV58" s="16"/>
      <c r="IW58" s="16"/>
      <c r="IX58" s="16"/>
      <c r="IY58" s="16"/>
      <c r="IZ58" s="16"/>
      <c r="JA58" s="16"/>
      <c r="JB58" s="16"/>
      <c r="JC58" s="16"/>
      <c r="JD58" s="16"/>
      <c r="JE58" s="16"/>
      <c r="JF58" s="16"/>
      <c r="JG58" s="16"/>
      <c r="JH58" s="16"/>
      <c r="JI58" s="16"/>
      <c r="JJ58" s="16"/>
      <c r="JK58" s="16"/>
      <c r="JL58" s="16"/>
      <c r="JM58" s="16"/>
      <c r="JN58" s="16"/>
      <c r="JO58" s="16"/>
      <c r="JP58" s="16"/>
      <c r="JQ58" s="16"/>
      <c r="JR58" s="16"/>
      <c r="JS58" s="16"/>
      <c r="JT58" s="16"/>
      <c r="JU58" s="16"/>
      <c r="JV58" s="16"/>
      <c r="JW58" s="16"/>
      <c r="JX58" s="16"/>
      <c r="JY58" s="16"/>
      <c r="JZ58" s="16"/>
      <c r="KA58" s="16"/>
      <c r="KB58" s="16"/>
      <c r="KC58" s="16"/>
      <c r="KD58" s="16"/>
      <c r="KE58" s="16"/>
      <c r="KF58" s="16"/>
      <c r="KG58" s="16"/>
      <c r="KH58" s="16"/>
      <c r="KI58" s="16"/>
      <c r="KJ58" s="16"/>
      <c r="KK58" s="16"/>
      <c r="KL58" s="16"/>
    </row>
    <row r="59" spans="3:330" ht="30" customHeight="1" thickBot="1" x14ac:dyDescent="0.3">
      <c r="C59" s="56" t="s">
        <v>75</v>
      </c>
      <c r="D59" s="32" t="s">
        <v>17</v>
      </c>
      <c r="E59" s="47">
        <f>F58+3</f>
        <v>45941</v>
      </c>
      <c r="F59" s="47">
        <f>E59+4</f>
        <v>45945</v>
      </c>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16"/>
      <c r="HB59" s="16"/>
      <c r="HC59" s="16"/>
      <c r="HD59" s="16"/>
      <c r="HE59" s="16"/>
      <c r="HF59" s="16"/>
      <c r="HG59" s="16"/>
      <c r="HH59" s="16"/>
      <c r="HI59" s="16"/>
      <c r="HJ59" s="16"/>
      <c r="HK59" s="16"/>
      <c r="HL59" s="16"/>
      <c r="HM59" s="16"/>
      <c r="HN59" s="16"/>
      <c r="HO59" s="16"/>
      <c r="HP59" s="16"/>
      <c r="HQ59" s="16"/>
      <c r="HR59" s="16"/>
      <c r="HS59" s="16"/>
      <c r="HT59" s="16"/>
      <c r="HU59" s="16"/>
      <c r="HV59" s="16"/>
      <c r="HW59" s="16"/>
      <c r="HX59" s="16"/>
      <c r="HY59" s="16"/>
      <c r="HZ59" s="16"/>
      <c r="IA59" s="16"/>
      <c r="IB59" s="16"/>
      <c r="IC59" s="16"/>
      <c r="ID59" s="16"/>
      <c r="IE59" s="16"/>
      <c r="IF59" s="16"/>
      <c r="IG59" s="16"/>
      <c r="IH59" s="16"/>
      <c r="II59" s="16"/>
      <c r="IJ59" s="16"/>
      <c r="IK59" s="16"/>
      <c r="IL59" s="16"/>
      <c r="IM59" s="16"/>
      <c r="IN59" s="16"/>
      <c r="IO59" s="16"/>
      <c r="IP59" s="16"/>
      <c r="IQ59" s="16"/>
      <c r="IR59" s="16"/>
      <c r="IS59" s="16"/>
      <c r="IT59" s="16"/>
      <c r="IU59" s="16"/>
      <c r="IV59" s="16"/>
      <c r="IW59" s="16"/>
      <c r="IX59" s="16"/>
      <c r="IY59" s="16"/>
      <c r="IZ59" s="16"/>
      <c r="JA59" s="16"/>
      <c r="JB59" s="16"/>
      <c r="JC59" s="16"/>
      <c r="JD59" s="16"/>
      <c r="JE59" s="16"/>
      <c r="JF59" s="16"/>
      <c r="JG59" s="16"/>
      <c r="JH59" s="16"/>
      <c r="JI59" s="16"/>
      <c r="JJ59" s="16"/>
      <c r="JK59" s="16"/>
      <c r="JL59" s="16"/>
      <c r="JM59" s="16"/>
      <c r="JN59" s="16"/>
      <c r="JO59" s="16"/>
      <c r="JP59" s="16"/>
      <c r="JQ59" s="16"/>
      <c r="JR59" s="16"/>
      <c r="JS59" s="16"/>
      <c r="JT59" s="16"/>
      <c r="JU59" s="16"/>
      <c r="JV59" s="16"/>
      <c r="JW59" s="16"/>
      <c r="JX59" s="16"/>
      <c r="JY59" s="16"/>
      <c r="JZ59" s="16"/>
      <c r="KA59" s="16"/>
      <c r="KB59" s="16"/>
      <c r="KC59" s="16"/>
      <c r="KD59" s="16"/>
      <c r="KE59" s="16"/>
      <c r="KF59" s="16"/>
      <c r="KG59" s="16"/>
      <c r="KH59" s="16"/>
      <c r="KI59" s="16"/>
      <c r="KJ59" s="16"/>
      <c r="KK59" s="16"/>
      <c r="KL59" s="16"/>
    </row>
    <row r="60" spans="3:330" ht="30" customHeight="1" thickBot="1" x14ac:dyDescent="0.3">
      <c r="C60" s="56"/>
      <c r="D60" s="32"/>
      <c r="E60" s="47"/>
      <c r="F60" s="47"/>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c r="GP60" s="16"/>
      <c r="GQ60" s="16"/>
      <c r="GR60" s="16"/>
      <c r="GS60" s="16"/>
      <c r="GT60" s="16"/>
      <c r="GU60" s="16"/>
      <c r="GV60" s="16"/>
      <c r="GW60" s="16"/>
      <c r="GX60" s="16"/>
      <c r="GY60" s="16"/>
      <c r="GZ60" s="16"/>
      <c r="HA60" s="16"/>
      <c r="HB60" s="16"/>
      <c r="HC60" s="16"/>
      <c r="HD60" s="16"/>
      <c r="HE60" s="16"/>
      <c r="HF60" s="16"/>
      <c r="HG60" s="16"/>
      <c r="HH60" s="16"/>
      <c r="HI60" s="16"/>
      <c r="HJ60" s="16"/>
      <c r="HK60" s="16"/>
      <c r="HL60" s="16"/>
      <c r="HM60" s="16"/>
      <c r="HN60" s="16"/>
      <c r="HO60" s="16"/>
      <c r="HP60" s="16"/>
      <c r="HQ60" s="16"/>
      <c r="HR60" s="16"/>
      <c r="HS60" s="16"/>
      <c r="HT60" s="16"/>
      <c r="HU60" s="16"/>
      <c r="HV60" s="16"/>
      <c r="HW60" s="16"/>
      <c r="HX60" s="16"/>
      <c r="HY60" s="16"/>
      <c r="HZ60" s="16"/>
      <c r="IA60" s="16"/>
      <c r="IB60" s="16"/>
      <c r="IC60" s="16"/>
      <c r="ID60" s="16"/>
      <c r="IE60" s="16"/>
      <c r="IF60" s="16"/>
      <c r="IG60" s="16"/>
      <c r="IH60" s="16"/>
      <c r="II60" s="16"/>
      <c r="IJ60" s="16"/>
      <c r="IK60" s="16"/>
      <c r="IL60" s="16"/>
      <c r="IM60" s="16"/>
      <c r="IN60" s="16"/>
      <c r="IO60" s="16"/>
      <c r="IP60" s="16"/>
      <c r="IQ60" s="16"/>
      <c r="IR60" s="16"/>
      <c r="IS60" s="16"/>
      <c r="IT60" s="16"/>
      <c r="IU60" s="16"/>
      <c r="IV60" s="16"/>
      <c r="IW60" s="16"/>
      <c r="IX60" s="16"/>
      <c r="IY60" s="16"/>
      <c r="IZ60" s="16"/>
      <c r="JA60" s="16"/>
      <c r="JB60" s="16"/>
      <c r="JC60" s="16"/>
      <c r="JD60" s="16"/>
      <c r="JE60" s="16"/>
      <c r="JF60" s="16"/>
      <c r="JG60" s="16"/>
      <c r="JH60" s="16"/>
      <c r="JI60" s="16"/>
      <c r="JJ60" s="16"/>
      <c r="JK60" s="16"/>
      <c r="JL60" s="16"/>
      <c r="JM60" s="16"/>
      <c r="JN60" s="16"/>
      <c r="JO60" s="16"/>
      <c r="JP60" s="16"/>
      <c r="JQ60" s="16"/>
      <c r="JR60" s="16"/>
      <c r="JS60" s="16"/>
      <c r="JT60" s="16"/>
      <c r="JU60" s="16"/>
      <c r="JV60" s="16"/>
      <c r="JW60" s="16"/>
      <c r="JX60" s="16"/>
      <c r="JY60" s="16"/>
      <c r="JZ60" s="16"/>
      <c r="KA60" s="16"/>
      <c r="KB60" s="16"/>
      <c r="KC60" s="16"/>
      <c r="KD60" s="16"/>
      <c r="KE60" s="16"/>
      <c r="KF60" s="16"/>
      <c r="KG60" s="16"/>
      <c r="KH60" s="16"/>
      <c r="KI60" s="16"/>
      <c r="KJ60" s="16"/>
      <c r="KK60" s="16"/>
      <c r="KL60" s="16"/>
    </row>
  </sheetData>
  <mergeCells count="51">
    <mergeCell ref="MN4:MT4"/>
    <mergeCell ref="LE4:LK4"/>
    <mergeCell ref="LL4:LR4"/>
    <mergeCell ref="LS4:LY4"/>
    <mergeCell ref="LZ4:MF4"/>
    <mergeCell ref="MG4:MM4"/>
    <mergeCell ref="JV4:KB4"/>
    <mergeCell ref="KC4:KI4"/>
    <mergeCell ref="KJ4:KP4"/>
    <mergeCell ref="KQ4:KW4"/>
    <mergeCell ref="KX4:LD4"/>
    <mergeCell ref="IM4:IS4"/>
    <mergeCell ref="IT4:IZ4"/>
    <mergeCell ref="JA4:JG4"/>
    <mergeCell ref="JH4:JN4"/>
    <mergeCell ref="JO4:JU4"/>
    <mergeCell ref="HD4:HJ4"/>
    <mergeCell ref="HK4:HQ4"/>
    <mergeCell ref="HR4:HX4"/>
    <mergeCell ref="HY4:IE4"/>
    <mergeCell ref="IF4:IL4"/>
    <mergeCell ref="FU4:GA4"/>
    <mergeCell ref="GB4:GH4"/>
    <mergeCell ref="GI4:GO4"/>
    <mergeCell ref="GP4:GV4"/>
    <mergeCell ref="GW4:HC4"/>
    <mergeCell ref="EL4:ER4"/>
    <mergeCell ref="ES4:EY4"/>
    <mergeCell ref="EZ4:FF4"/>
    <mergeCell ref="FG4:FM4"/>
    <mergeCell ref="FN4:FT4"/>
    <mergeCell ref="BF4:BL4"/>
    <mergeCell ref="E3:F3"/>
    <mergeCell ref="I4:O4"/>
    <mergeCell ref="P4:V4"/>
    <mergeCell ref="W4:AC4"/>
    <mergeCell ref="AD4:AJ4"/>
    <mergeCell ref="AK4:AQ4"/>
    <mergeCell ref="AR4:AX4"/>
    <mergeCell ref="AY4:BE4"/>
    <mergeCell ref="BM4:BS4"/>
    <mergeCell ref="BT4:BZ4"/>
    <mergeCell ref="CA4:CG4"/>
    <mergeCell ref="CH4:CN4"/>
    <mergeCell ref="CO4:CU4"/>
    <mergeCell ref="EE4:EK4"/>
    <mergeCell ref="CV4:DB4"/>
    <mergeCell ref="DC4:DI4"/>
    <mergeCell ref="DJ4:DP4"/>
    <mergeCell ref="DQ4:DW4"/>
    <mergeCell ref="DX4:ED4"/>
  </mergeCells>
  <conditionalFormatting sqref="I43:BL48 I5:BK42">
    <cfRule type="expression" dxfId="164" priority="304">
      <formula>AND(TODAY()&gt;=I$5,TODAY()&lt;J$5)</formula>
    </cfRule>
  </conditionalFormatting>
  <conditionalFormatting sqref="I43:BL48 I7:BK42">
    <cfRule type="expression" dxfId="163" priority="299" stopIfTrue="1">
      <formula>AND(task_end&gt;=I$5,task_start&lt;J$5)</formula>
    </cfRule>
  </conditionalFormatting>
  <conditionalFormatting sqref="I7:BL48">
    <cfRule type="expression" dxfId="162" priority="203">
      <formula>AND(task_start&lt;=I$5,ROUNDDOWN((task_end-task_start+1)*task_progress,0)+task_start-1&gt;=I$5)</formula>
    </cfRule>
  </conditionalFormatting>
  <conditionalFormatting sqref="AU56:CF56">
    <cfRule type="expression" dxfId="161" priority="85">
      <formula>AND(task_start&lt;=AU$5,ROUNDDOWN((task_end-task_start+1)*task_progress,0)+task_start-1&gt;=AU$5)</formula>
    </cfRule>
    <cfRule type="expression" dxfId="160" priority="86" stopIfTrue="1">
      <formula>AND(task_end&gt;=AU$5,task_start&lt;AV$5)</formula>
    </cfRule>
    <cfRule type="expression" dxfId="159" priority="87">
      <formula>AND(TODAY()&gt;=AU$5,TODAY()&lt;AV$5)</formula>
    </cfRule>
  </conditionalFormatting>
  <conditionalFormatting sqref="BL5:BL7 BL13:BL42">
    <cfRule type="expression" dxfId="158" priority="306">
      <formula>AND(TODAY()&gt;=BL$5,TODAY()&lt;#REF!)</formula>
    </cfRule>
  </conditionalFormatting>
  <conditionalFormatting sqref="BL7 BL13:BL42">
    <cfRule type="expression" dxfId="157" priority="310" stopIfTrue="1">
      <formula>AND(task_end&gt;=BL$5,task_start&lt;#REF!)</formula>
    </cfRule>
  </conditionalFormatting>
  <conditionalFormatting sqref="BL8:BL12">
    <cfRule type="expression" dxfId="156" priority="204" stopIfTrue="1">
      <formula>AND(task_end&gt;=BL$5,task_start&lt;BM$5)</formula>
    </cfRule>
    <cfRule type="expression" dxfId="155" priority="205">
      <formula>AND(TODAY()&gt;=BL$5,TODAY()&lt;BM$5)</formula>
    </cfRule>
  </conditionalFormatting>
  <conditionalFormatting sqref="BM5:BR41">
    <cfRule type="expression" dxfId="154" priority="268">
      <formula>AND(TODAY()&gt;=BM$5,TODAY()&lt;BN$5)</formula>
    </cfRule>
  </conditionalFormatting>
  <conditionalFormatting sqref="BM7:BR41">
    <cfRule type="expression" dxfId="153" priority="267" stopIfTrue="1">
      <formula>AND(task_end&gt;=BM$5,task_start&lt;BN$5)</formula>
    </cfRule>
  </conditionalFormatting>
  <conditionalFormatting sqref="BM42:LR55 AU49:BL55 I49:AT60">
    <cfRule type="expression" dxfId="152" priority="91">
      <formula>AND(task_start&lt;=I$5,ROUNDDOWN((task_end-task_start+1)*task_progress,0)+task_start-1&gt;=I$5)</formula>
    </cfRule>
    <cfRule type="expression" dxfId="151" priority="92" stopIfTrue="1">
      <formula>AND(task_end&gt;=I$5,task_start&lt;J$5)</formula>
    </cfRule>
    <cfRule type="expression" dxfId="150" priority="93">
      <formula>AND(TODAY()&gt;=I$5,TODAY()&lt;J$5)</formula>
    </cfRule>
  </conditionalFormatting>
  <conditionalFormatting sqref="BM7:MT41">
    <cfRule type="expression" dxfId="149" priority="97">
      <formula>AND(task_start&lt;=BM$5,ROUNDDOWN((task_end-task_start+1)*task_progress,0)+task_start-1&gt;=BM$5)</formula>
    </cfRule>
  </conditionalFormatting>
  <conditionalFormatting sqref="BS5:BS7 BS13:BS41">
    <cfRule type="expression" dxfId="148" priority="269">
      <formula>AND(TODAY()&gt;=BS$5,TODAY()&lt;#REF!)</formula>
    </cfRule>
  </conditionalFormatting>
  <conditionalFormatting sqref="BS7 BS13:BS41">
    <cfRule type="expression" dxfId="147" priority="271" stopIfTrue="1">
      <formula>AND(task_end&gt;=BS$5,task_start&lt;#REF!)</formula>
    </cfRule>
  </conditionalFormatting>
  <conditionalFormatting sqref="BS8:BS12">
    <cfRule type="expression" dxfId="146" priority="201" stopIfTrue="1">
      <formula>AND(task_end&gt;=BS$5,task_start&lt;BT$5)</formula>
    </cfRule>
    <cfRule type="expression" dxfId="145" priority="202">
      <formula>AND(TODAY()&gt;=BS$5,TODAY()&lt;BT$5)</formula>
    </cfRule>
  </conditionalFormatting>
  <conditionalFormatting sqref="BT5:BY41">
    <cfRule type="expression" dxfId="144" priority="262">
      <formula>AND(TODAY()&gt;=BT$5,TODAY()&lt;BU$5)</formula>
    </cfRule>
  </conditionalFormatting>
  <conditionalFormatting sqref="BT7:BY41">
    <cfRule type="expression" dxfId="143" priority="261" stopIfTrue="1">
      <formula>AND(task_end&gt;=BT$5,task_start&lt;BU$5)</formula>
    </cfRule>
  </conditionalFormatting>
  <conditionalFormatting sqref="BZ5:BZ7 BZ13:BZ41">
    <cfRule type="expression" dxfId="142" priority="263">
      <formula>AND(TODAY()&gt;=BZ$5,TODAY()&lt;#REF!)</formula>
    </cfRule>
  </conditionalFormatting>
  <conditionalFormatting sqref="BZ7 BZ13:BZ41">
    <cfRule type="expression" dxfId="141" priority="265" stopIfTrue="1">
      <formula>AND(task_end&gt;=BZ$5,task_start&lt;#REF!)</formula>
    </cfRule>
  </conditionalFormatting>
  <conditionalFormatting sqref="BZ8:BZ12">
    <cfRule type="expression" dxfId="140" priority="198" stopIfTrue="1">
      <formula>AND(task_end&gt;=BZ$5,task_start&lt;CA$5)</formula>
    </cfRule>
    <cfRule type="expression" dxfId="139" priority="199">
      <formula>AND(TODAY()&gt;=BZ$5,TODAY()&lt;CA$5)</formula>
    </cfRule>
  </conditionalFormatting>
  <conditionalFormatting sqref="CA5:CF41">
    <cfRule type="expression" dxfId="138" priority="256">
      <formula>AND(TODAY()&gt;=CA$5,TODAY()&lt;CB$5)</formula>
    </cfRule>
  </conditionalFormatting>
  <conditionalFormatting sqref="CA7:CF41">
    <cfRule type="expression" dxfId="137" priority="255" stopIfTrue="1">
      <formula>AND(task_end&gt;=CA$5,task_start&lt;CB$5)</formula>
    </cfRule>
  </conditionalFormatting>
  <conditionalFormatting sqref="CG5:CG7 CG13:CG41">
    <cfRule type="expression" dxfId="136" priority="257">
      <formula>AND(TODAY()&gt;=CG$5,TODAY()&lt;#REF!)</formula>
    </cfRule>
  </conditionalFormatting>
  <conditionalFormatting sqref="CG7 CG13:CG41">
    <cfRule type="expression" dxfId="135" priority="259" stopIfTrue="1">
      <formula>AND(task_end&gt;=CG$5,task_start&lt;#REF!)</formula>
    </cfRule>
  </conditionalFormatting>
  <conditionalFormatting sqref="CG8:CG12">
    <cfRule type="expression" dxfId="134" priority="195" stopIfTrue="1">
      <formula>AND(task_end&gt;=CG$5,task_start&lt;CH$5)</formula>
    </cfRule>
    <cfRule type="expression" dxfId="133" priority="196">
      <formula>AND(TODAY()&gt;=CG$5,TODAY()&lt;CH$5)</formula>
    </cfRule>
  </conditionalFormatting>
  <conditionalFormatting sqref="CH5:CM41">
    <cfRule type="expression" dxfId="132" priority="250">
      <formula>AND(TODAY()&gt;=CH$5,TODAY()&lt;CI$5)</formula>
    </cfRule>
  </conditionalFormatting>
  <conditionalFormatting sqref="CH7:CM41">
    <cfRule type="expression" dxfId="131" priority="249" stopIfTrue="1">
      <formula>AND(task_end&gt;=CH$5,task_start&lt;CI$5)</formula>
    </cfRule>
  </conditionalFormatting>
  <conditionalFormatting sqref="CN5:CN7 CN13:CN41">
    <cfRule type="expression" dxfId="130" priority="251">
      <formula>AND(TODAY()&gt;=CN$5,TODAY()&lt;#REF!)</formula>
    </cfRule>
  </conditionalFormatting>
  <conditionalFormatting sqref="CN7 CN13:CN41">
    <cfRule type="expression" dxfId="129" priority="253" stopIfTrue="1">
      <formula>AND(task_end&gt;=CN$5,task_start&lt;#REF!)</formula>
    </cfRule>
  </conditionalFormatting>
  <conditionalFormatting sqref="CN8:CN12">
    <cfRule type="expression" dxfId="128" priority="192" stopIfTrue="1">
      <formula>AND(task_end&gt;=CN$5,task_start&lt;CO$5)</formula>
    </cfRule>
    <cfRule type="expression" dxfId="127" priority="193">
      <formula>AND(TODAY()&gt;=CN$5,TODAY()&lt;CO$5)</formula>
    </cfRule>
  </conditionalFormatting>
  <conditionalFormatting sqref="CO5:CT41">
    <cfRule type="expression" dxfId="126" priority="244">
      <formula>AND(TODAY()&gt;=CO$5,TODAY()&lt;CP$5)</formula>
    </cfRule>
  </conditionalFormatting>
  <conditionalFormatting sqref="CO7:CT41">
    <cfRule type="expression" dxfId="125" priority="243" stopIfTrue="1">
      <formula>AND(task_end&gt;=CO$5,task_start&lt;CP$5)</formula>
    </cfRule>
  </conditionalFormatting>
  <conditionalFormatting sqref="CU5:CU7 CU13:CU41">
    <cfRule type="expression" dxfId="124" priority="245">
      <formula>AND(TODAY()&gt;=CU$5,TODAY()&lt;#REF!)</formula>
    </cfRule>
  </conditionalFormatting>
  <conditionalFormatting sqref="CU7 CU13:CU41">
    <cfRule type="expression" dxfId="123" priority="247" stopIfTrue="1">
      <formula>AND(task_end&gt;=CU$5,task_start&lt;#REF!)</formula>
    </cfRule>
  </conditionalFormatting>
  <conditionalFormatting sqref="CU8:CU12">
    <cfRule type="expression" dxfId="122" priority="189" stopIfTrue="1">
      <formula>AND(task_end&gt;=CU$5,task_start&lt;CV$5)</formula>
    </cfRule>
    <cfRule type="expression" dxfId="121" priority="190">
      <formula>AND(TODAY()&gt;=CU$5,TODAY()&lt;CV$5)</formula>
    </cfRule>
  </conditionalFormatting>
  <conditionalFormatting sqref="CV5:DA41">
    <cfRule type="expression" dxfId="120" priority="238">
      <formula>AND(TODAY()&gt;=CV$5,TODAY()&lt;CW$5)</formula>
    </cfRule>
  </conditionalFormatting>
  <conditionalFormatting sqref="CV7:DA41">
    <cfRule type="expression" dxfId="119" priority="237" stopIfTrue="1">
      <formula>AND(task_end&gt;=CV$5,task_start&lt;CW$5)</formula>
    </cfRule>
  </conditionalFormatting>
  <conditionalFormatting sqref="DB5:DB7 DB13:DB41">
    <cfRule type="expression" dxfId="118" priority="239">
      <formula>AND(TODAY()&gt;=DB$5,TODAY()&lt;#REF!)</formula>
    </cfRule>
  </conditionalFormatting>
  <conditionalFormatting sqref="DB7 DB13:DB41">
    <cfRule type="expression" dxfId="117" priority="241" stopIfTrue="1">
      <formula>AND(task_end&gt;=DB$5,task_start&lt;#REF!)</formula>
    </cfRule>
  </conditionalFormatting>
  <conditionalFormatting sqref="DB8:DB12">
    <cfRule type="expression" dxfId="116" priority="186" stopIfTrue="1">
      <formula>AND(task_end&gt;=DB$5,task_start&lt;DC$5)</formula>
    </cfRule>
    <cfRule type="expression" dxfId="115" priority="187">
      <formula>AND(TODAY()&gt;=DB$5,TODAY()&lt;DC$5)</formula>
    </cfRule>
  </conditionalFormatting>
  <conditionalFormatting sqref="DC5:DH41">
    <cfRule type="expression" dxfId="114" priority="232">
      <formula>AND(TODAY()&gt;=DC$5,TODAY()&lt;DD$5)</formula>
    </cfRule>
  </conditionalFormatting>
  <conditionalFormatting sqref="DC7:DH41">
    <cfRule type="expression" dxfId="113" priority="231" stopIfTrue="1">
      <formula>AND(task_end&gt;=DC$5,task_start&lt;DD$5)</formula>
    </cfRule>
  </conditionalFormatting>
  <conditionalFormatting sqref="DI5:DI7 DI13:DI41">
    <cfRule type="expression" dxfId="112" priority="233">
      <formula>AND(TODAY()&gt;=DI$5,TODAY()&lt;#REF!)</formula>
    </cfRule>
  </conditionalFormatting>
  <conditionalFormatting sqref="DI7 DI13:DI41">
    <cfRule type="expression" dxfId="111" priority="235" stopIfTrue="1">
      <formula>AND(task_end&gt;=DI$5,task_start&lt;#REF!)</formula>
    </cfRule>
  </conditionalFormatting>
  <conditionalFormatting sqref="DI8:DI12">
    <cfRule type="expression" dxfId="110" priority="183" stopIfTrue="1">
      <formula>AND(task_end&gt;=DI$5,task_start&lt;DJ$5)</formula>
    </cfRule>
    <cfRule type="expression" dxfId="109" priority="184">
      <formula>AND(TODAY()&gt;=DI$5,TODAY()&lt;DJ$5)</formula>
    </cfRule>
  </conditionalFormatting>
  <conditionalFormatting sqref="DJ5:DO41">
    <cfRule type="expression" dxfId="108" priority="226">
      <formula>AND(TODAY()&gt;=DJ$5,TODAY()&lt;DK$5)</formula>
    </cfRule>
  </conditionalFormatting>
  <conditionalFormatting sqref="DJ7:DO41">
    <cfRule type="expression" dxfId="107" priority="225" stopIfTrue="1">
      <formula>AND(task_end&gt;=DJ$5,task_start&lt;DK$5)</formula>
    </cfRule>
  </conditionalFormatting>
  <conditionalFormatting sqref="DP5:DP7 DP13:DP41">
    <cfRule type="expression" dxfId="106" priority="227">
      <formula>AND(TODAY()&gt;=DP$5,TODAY()&lt;#REF!)</formula>
    </cfRule>
  </conditionalFormatting>
  <conditionalFormatting sqref="DP7 DP13:DP41">
    <cfRule type="expression" dxfId="105" priority="229" stopIfTrue="1">
      <formula>AND(task_end&gt;=DP$5,task_start&lt;#REF!)</formula>
    </cfRule>
  </conditionalFormatting>
  <conditionalFormatting sqref="DP8:DP12">
    <cfRule type="expression" dxfId="104" priority="180" stopIfTrue="1">
      <formula>AND(task_end&gt;=DP$5,task_start&lt;DQ$5)</formula>
    </cfRule>
    <cfRule type="expression" dxfId="103" priority="181">
      <formula>AND(TODAY()&gt;=DP$5,TODAY()&lt;DQ$5)</formula>
    </cfRule>
  </conditionalFormatting>
  <conditionalFormatting sqref="DQ5:DV41">
    <cfRule type="expression" dxfId="102" priority="220">
      <formula>AND(TODAY()&gt;=DQ$5,TODAY()&lt;DR$5)</formula>
    </cfRule>
  </conditionalFormatting>
  <conditionalFormatting sqref="DQ7:DV41">
    <cfRule type="expression" dxfId="101" priority="219" stopIfTrue="1">
      <formula>AND(task_end&gt;=DQ$5,task_start&lt;DR$5)</formula>
    </cfRule>
  </conditionalFormatting>
  <conditionalFormatting sqref="DW5:DW7 DW13:DW41">
    <cfRule type="expression" dxfId="100" priority="221">
      <formula>AND(TODAY()&gt;=DW$5,TODAY()&lt;#REF!)</formula>
    </cfRule>
  </conditionalFormatting>
  <conditionalFormatting sqref="DW7 DW13:DW41">
    <cfRule type="expression" dxfId="99" priority="223" stopIfTrue="1">
      <formula>AND(task_end&gt;=DW$5,task_start&lt;#REF!)</formula>
    </cfRule>
  </conditionalFormatting>
  <conditionalFormatting sqref="DW8:DW12">
    <cfRule type="expression" dxfId="98" priority="177" stopIfTrue="1">
      <formula>AND(task_end&gt;=DW$5,task_start&lt;DX$5)</formula>
    </cfRule>
    <cfRule type="expression" dxfId="97" priority="178">
      <formula>AND(TODAY()&gt;=DW$5,TODAY()&lt;DX$5)</formula>
    </cfRule>
  </conditionalFormatting>
  <conditionalFormatting sqref="DX5:EC41">
    <cfRule type="expression" dxfId="96" priority="214">
      <formula>AND(TODAY()&gt;=DX$5,TODAY()&lt;DY$5)</formula>
    </cfRule>
  </conditionalFormatting>
  <conditionalFormatting sqref="DX7:EC41">
    <cfRule type="expression" dxfId="95" priority="213" stopIfTrue="1">
      <formula>AND(task_end&gt;=DX$5,task_start&lt;DY$5)</formula>
    </cfRule>
  </conditionalFormatting>
  <conditionalFormatting sqref="ED5:ED7 ED13:ED41">
    <cfRule type="expression" dxfId="94" priority="215">
      <formula>AND(TODAY()&gt;=ED$5,TODAY()&lt;#REF!)</formula>
    </cfRule>
  </conditionalFormatting>
  <conditionalFormatting sqref="ED7 ED13:ED41">
    <cfRule type="expression" dxfId="93" priority="217" stopIfTrue="1">
      <formula>AND(task_end&gt;=ED$5,task_start&lt;#REF!)</formula>
    </cfRule>
  </conditionalFormatting>
  <conditionalFormatting sqref="ED8:ED12">
    <cfRule type="expression" dxfId="92" priority="174" stopIfTrue="1">
      <formula>AND(task_end&gt;=ED$5,task_start&lt;EE$5)</formula>
    </cfRule>
    <cfRule type="expression" dxfId="91" priority="175">
      <formula>AND(TODAY()&gt;=ED$5,TODAY()&lt;EE$5)</formula>
    </cfRule>
  </conditionalFormatting>
  <conditionalFormatting sqref="EE5:EJ41">
    <cfRule type="expression" dxfId="90" priority="208">
      <formula>AND(TODAY()&gt;=EE$5,TODAY()&lt;EF$5)</formula>
    </cfRule>
  </conditionalFormatting>
  <conditionalFormatting sqref="EE7:EJ41">
    <cfRule type="expression" dxfId="89" priority="207" stopIfTrue="1">
      <formula>AND(task_end&gt;=EE$5,task_start&lt;EF$5)</formula>
    </cfRule>
  </conditionalFormatting>
  <conditionalFormatting sqref="EK5:EK41">
    <cfRule type="expression" dxfId="88" priority="209">
      <formula>AND(TODAY()&gt;=EK$5,TODAY()&lt;#REF!)</formula>
    </cfRule>
  </conditionalFormatting>
  <conditionalFormatting sqref="EK7:EK41">
    <cfRule type="expression" dxfId="87" priority="211" stopIfTrue="1">
      <formula>AND(task_end&gt;=EK$5,task_start&lt;#REF!)</formula>
    </cfRule>
  </conditionalFormatting>
  <conditionalFormatting sqref="EL5:FS41">
    <cfRule type="expression" dxfId="86" priority="170">
      <formula>AND(TODAY()&gt;=EL$5,TODAY()&lt;EM$5)</formula>
    </cfRule>
  </conditionalFormatting>
  <conditionalFormatting sqref="EL7:FS41">
    <cfRule type="expression" dxfId="85" priority="169" stopIfTrue="1">
      <formula>AND(task_end&gt;=EL$5,task_start&lt;EM$5)</formula>
    </cfRule>
  </conditionalFormatting>
  <conditionalFormatting sqref="FT5:FT7 FT13:FT41">
    <cfRule type="expression" dxfId="84" priority="171">
      <formula>AND(TODAY()&gt;=FT$5,TODAY()&lt;#REF!)</formula>
    </cfRule>
  </conditionalFormatting>
  <conditionalFormatting sqref="FT7 FT13:FT41">
    <cfRule type="expression" dxfId="83" priority="172" stopIfTrue="1">
      <formula>AND(task_end&gt;=FT$5,task_start&lt;#REF!)</formula>
    </cfRule>
  </conditionalFormatting>
  <conditionalFormatting sqref="FT8:FT12">
    <cfRule type="expression" dxfId="82" priority="159" stopIfTrue="1">
      <formula>AND(task_end&gt;=FT$5,task_start&lt;FU$5)</formula>
    </cfRule>
    <cfRule type="expression" dxfId="81" priority="160">
      <formula>AND(TODAY()&gt;=FT$5,TODAY()&lt;FU$5)</formula>
    </cfRule>
  </conditionalFormatting>
  <conditionalFormatting sqref="FU5:FZ41">
    <cfRule type="expression" dxfId="80" priority="166">
      <formula>AND(TODAY()&gt;=FU$5,TODAY()&lt;FV$5)</formula>
    </cfRule>
  </conditionalFormatting>
  <conditionalFormatting sqref="FU7:FZ41">
    <cfRule type="expression" dxfId="79" priority="165" stopIfTrue="1">
      <formula>AND(task_end&gt;=FU$5,task_start&lt;FV$5)</formula>
    </cfRule>
  </conditionalFormatting>
  <conditionalFormatting sqref="GA5:GA7 GA13:GA41">
    <cfRule type="expression" dxfId="78" priority="167">
      <formula>AND(TODAY()&gt;=GA$5,TODAY()&lt;#REF!)</formula>
    </cfRule>
  </conditionalFormatting>
  <conditionalFormatting sqref="GA7 GA13:GA41">
    <cfRule type="expression" dxfId="77" priority="168" stopIfTrue="1">
      <formula>AND(task_end&gt;=GA$5,task_start&lt;#REF!)</formula>
    </cfRule>
  </conditionalFormatting>
  <conditionalFormatting sqref="GA8:GA12">
    <cfRule type="expression" dxfId="76" priority="156" stopIfTrue="1">
      <formula>AND(task_end&gt;=GA$5,task_start&lt;GB$5)</formula>
    </cfRule>
    <cfRule type="expression" dxfId="75" priority="157">
      <formula>AND(TODAY()&gt;=GA$5,TODAY()&lt;GB$5)</formula>
    </cfRule>
  </conditionalFormatting>
  <conditionalFormatting sqref="GB5:GG41">
    <cfRule type="expression" dxfId="74" priority="162">
      <formula>AND(TODAY()&gt;=GB$5,TODAY()&lt;GC$5)</formula>
    </cfRule>
  </conditionalFormatting>
  <conditionalFormatting sqref="GB7:GG41">
    <cfRule type="expression" dxfId="73" priority="161" stopIfTrue="1">
      <formula>AND(task_end&gt;=GB$5,task_start&lt;GC$5)</formula>
    </cfRule>
  </conditionalFormatting>
  <conditionalFormatting sqref="GH5:GH7 GH13:GH41">
    <cfRule type="expression" dxfId="72" priority="163">
      <formula>AND(TODAY()&gt;=GH$5,TODAY()&lt;#REF!)</formula>
    </cfRule>
  </conditionalFormatting>
  <conditionalFormatting sqref="GH7 GH13:GH41">
    <cfRule type="expression" dxfId="71" priority="164" stopIfTrue="1">
      <formula>AND(task_end&gt;=GH$5,task_start&lt;#REF!)</formula>
    </cfRule>
  </conditionalFormatting>
  <conditionalFormatting sqref="GH8:GH12">
    <cfRule type="expression" dxfId="70" priority="154" stopIfTrue="1">
      <formula>AND(task_end&gt;=GH$5,task_start&lt;GI$5)</formula>
    </cfRule>
    <cfRule type="expression" dxfId="69" priority="155">
      <formula>AND(TODAY()&gt;=GH$5,TODAY()&lt;GI$5)</formula>
    </cfRule>
  </conditionalFormatting>
  <conditionalFormatting sqref="GI5:HP41">
    <cfRule type="expression" dxfId="68" priority="150">
      <formula>AND(TODAY()&gt;=GI$5,TODAY()&lt;GJ$5)</formula>
    </cfRule>
  </conditionalFormatting>
  <conditionalFormatting sqref="GI7:HP41">
    <cfRule type="expression" dxfId="67" priority="149" stopIfTrue="1">
      <formula>AND(task_end&gt;=GI$5,task_start&lt;GJ$5)</formula>
    </cfRule>
  </conditionalFormatting>
  <conditionalFormatting sqref="HQ5:HQ7 HQ13:HQ41">
    <cfRule type="expression" dxfId="66" priority="151">
      <formula>AND(TODAY()&gt;=HQ$5,TODAY()&lt;#REF!)</formula>
    </cfRule>
  </conditionalFormatting>
  <conditionalFormatting sqref="HQ7 HQ13:HQ41">
    <cfRule type="expression" dxfId="65" priority="152" stopIfTrue="1">
      <formula>AND(task_end&gt;=HQ$5,task_start&lt;#REF!)</formula>
    </cfRule>
  </conditionalFormatting>
  <conditionalFormatting sqref="HQ8:HQ12">
    <cfRule type="expression" dxfId="64" priority="143" stopIfTrue="1">
      <formula>AND(task_end&gt;=HQ$5,task_start&lt;HR$5)</formula>
    </cfRule>
    <cfRule type="expression" dxfId="63" priority="144">
      <formula>AND(TODAY()&gt;=HQ$5,TODAY()&lt;HR$5)</formula>
    </cfRule>
  </conditionalFormatting>
  <conditionalFormatting sqref="HR5:HW41">
    <cfRule type="expression" dxfId="62" priority="146">
      <formula>AND(TODAY()&gt;=HR$5,TODAY()&lt;HS$5)</formula>
    </cfRule>
  </conditionalFormatting>
  <conditionalFormatting sqref="HR7:HW41">
    <cfRule type="expression" dxfId="61" priority="145" stopIfTrue="1">
      <formula>AND(task_end&gt;=HR$5,task_start&lt;HS$5)</formula>
    </cfRule>
  </conditionalFormatting>
  <conditionalFormatting sqref="HX5:HX7 HX13:HX41">
    <cfRule type="expression" dxfId="60" priority="147">
      <formula>AND(TODAY()&gt;=HX$5,TODAY()&lt;#REF!)</formula>
    </cfRule>
  </conditionalFormatting>
  <conditionalFormatting sqref="HX7 HX13:HX41">
    <cfRule type="expression" dxfId="59" priority="148" stopIfTrue="1">
      <formula>AND(task_end&gt;=HX$5,task_start&lt;#REF!)</formula>
    </cfRule>
  </conditionalFormatting>
  <conditionalFormatting sqref="HX8:HX12">
    <cfRule type="expression" dxfId="58" priority="140" stopIfTrue="1">
      <formula>AND(task_end&gt;=HX$5,task_start&lt;HY$5)</formula>
    </cfRule>
    <cfRule type="expression" dxfId="57" priority="141">
      <formula>AND(TODAY()&gt;=HX$5,TODAY()&lt;HY$5)</formula>
    </cfRule>
  </conditionalFormatting>
  <conditionalFormatting sqref="HY5:JF41">
    <cfRule type="expression" dxfId="56" priority="136">
      <formula>AND(TODAY()&gt;=HY$5,TODAY()&lt;HZ$5)</formula>
    </cfRule>
  </conditionalFormatting>
  <conditionalFormatting sqref="HY7:JF41">
    <cfRule type="expression" dxfId="55" priority="135" stopIfTrue="1">
      <formula>AND(task_end&gt;=HY$5,task_start&lt;HZ$5)</formula>
    </cfRule>
  </conditionalFormatting>
  <conditionalFormatting sqref="JG5:JG7 JG13:JG41">
    <cfRule type="expression" dxfId="54" priority="137">
      <formula>AND(TODAY()&gt;=JG$5,TODAY()&lt;#REF!)</formula>
    </cfRule>
  </conditionalFormatting>
  <conditionalFormatting sqref="JG7 JG13:JG41">
    <cfRule type="expression" dxfId="53" priority="138" stopIfTrue="1">
      <formula>AND(task_end&gt;=JG$5,task_start&lt;#REF!)</formula>
    </cfRule>
  </conditionalFormatting>
  <conditionalFormatting sqref="JG8:JG12">
    <cfRule type="expression" dxfId="52" priority="129" stopIfTrue="1">
      <formula>AND(task_end&gt;=JG$5,task_start&lt;JH$5)</formula>
    </cfRule>
    <cfRule type="expression" dxfId="51" priority="130">
      <formula>AND(TODAY()&gt;=JG$5,TODAY()&lt;JH$5)</formula>
    </cfRule>
  </conditionalFormatting>
  <conditionalFormatting sqref="JH5:JM41">
    <cfRule type="expression" dxfId="50" priority="132">
      <formula>AND(TODAY()&gt;=JH$5,TODAY()&lt;JI$5)</formula>
    </cfRule>
  </conditionalFormatting>
  <conditionalFormatting sqref="JH7:JM41">
    <cfRule type="expression" dxfId="49" priority="131" stopIfTrue="1">
      <formula>AND(task_end&gt;=JH$5,task_start&lt;JI$5)</formula>
    </cfRule>
  </conditionalFormatting>
  <conditionalFormatting sqref="JN5:JN7 JN13:JN41">
    <cfRule type="expression" dxfId="48" priority="133">
      <formula>AND(TODAY()&gt;=JN$5,TODAY()&lt;#REF!)</formula>
    </cfRule>
  </conditionalFormatting>
  <conditionalFormatting sqref="JN7 JN13:JN41">
    <cfRule type="expression" dxfId="47" priority="134" stopIfTrue="1">
      <formula>AND(task_end&gt;=JN$5,task_start&lt;#REF!)</formula>
    </cfRule>
  </conditionalFormatting>
  <conditionalFormatting sqref="JN8:JN12">
    <cfRule type="expression" dxfId="46" priority="126" stopIfTrue="1">
      <formula>AND(task_end&gt;=JN$5,task_start&lt;JO$5)</formula>
    </cfRule>
    <cfRule type="expression" dxfId="45" priority="127">
      <formula>AND(TODAY()&gt;=JN$5,TODAY()&lt;JO$5)</formula>
    </cfRule>
  </conditionalFormatting>
  <conditionalFormatting sqref="JO5:KV41">
    <cfRule type="expression" dxfId="44" priority="122">
      <formula>AND(TODAY()&gt;=JO$5,TODAY()&lt;JP$5)</formula>
    </cfRule>
  </conditionalFormatting>
  <conditionalFormatting sqref="JO7:KV41">
    <cfRule type="expression" dxfId="43" priority="121" stopIfTrue="1">
      <formula>AND(task_end&gt;=JO$5,task_start&lt;JP$5)</formula>
    </cfRule>
  </conditionalFormatting>
  <conditionalFormatting sqref="KW5:KW7 KW13:KW41">
    <cfRule type="expression" dxfId="42" priority="123">
      <formula>AND(TODAY()&gt;=KW$5,TODAY()&lt;#REF!)</formula>
    </cfRule>
  </conditionalFormatting>
  <conditionalFormatting sqref="KW7 KW13:KW41">
    <cfRule type="expression" dxfId="41" priority="124" stopIfTrue="1">
      <formula>AND(task_end&gt;=KW$5,task_start&lt;#REF!)</formula>
    </cfRule>
  </conditionalFormatting>
  <conditionalFormatting sqref="KW8:KW12">
    <cfRule type="expression" dxfId="40" priority="115" stopIfTrue="1">
      <formula>AND(task_end&gt;=KW$5,task_start&lt;KX$5)</formula>
    </cfRule>
    <cfRule type="expression" dxfId="39" priority="116">
      <formula>AND(TODAY()&gt;=KW$5,TODAY()&lt;KX$5)</formula>
    </cfRule>
  </conditionalFormatting>
  <conditionalFormatting sqref="KX5:LC41">
    <cfRule type="expression" dxfId="38" priority="118">
      <formula>AND(TODAY()&gt;=KX$5,TODAY()&lt;KY$5)</formula>
    </cfRule>
  </conditionalFormatting>
  <conditionalFormatting sqref="KX7:LC41">
    <cfRule type="expression" dxfId="37" priority="117" stopIfTrue="1">
      <formula>AND(task_end&gt;=KX$5,task_start&lt;KY$5)</formula>
    </cfRule>
  </conditionalFormatting>
  <conditionalFormatting sqref="LD5:LD7 LD13:LD41">
    <cfRule type="expression" dxfId="36" priority="119">
      <formula>AND(TODAY()&gt;=LD$5,TODAY()&lt;#REF!)</formula>
    </cfRule>
  </conditionalFormatting>
  <conditionalFormatting sqref="LD7 LD13:LD41">
    <cfRule type="expression" dxfId="35" priority="120" stopIfTrue="1">
      <formula>AND(task_end&gt;=LD$5,task_start&lt;#REF!)</formula>
    </cfRule>
  </conditionalFormatting>
  <conditionalFormatting sqref="LD8:LD12">
    <cfRule type="expression" dxfId="34" priority="112" stopIfTrue="1">
      <formula>AND(task_end&gt;=LD$5,task_start&lt;LE$5)</formula>
    </cfRule>
    <cfRule type="expression" dxfId="33" priority="113">
      <formula>AND(TODAY()&gt;=LD$5,TODAY()&lt;LE$5)</formula>
    </cfRule>
  </conditionalFormatting>
  <conditionalFormatting sqref="LE5:ML41">
    <cfRule type="expression" dxfId="32" priority="108">
      <formula>AND(TODAY()&gt;=LE$5,TODAY()&lt;LF$5)</formula>
    </cfRule>
  </conditionalFormatting>
  <conditionalFormatting sqref="LE7:ML41">
    <cfRule type="expression" dxfId="31" priority="107" stopIfTrue="1">
      <formula>AND(task_end&gt;=LE$5,task_start&lt;LF$5)</formula>
    </cfRule>
  </conditionalFormatting>
  <conditionalFormatting sqref="MM5:MM7 MM13:MM41">
    <cfRule type="expression" dxfId="30" priority="109">
      <formula>AND(TODAY()&gt;=MM$5,TODAY()&lt;#REF!)</formula>
    </cfRule>
  </conditionalFormatting>
  <conditionalFormatting sqref="MM7 MM13:MM41">
    <cfRule type="expression" dxfId="29" priority="110" stopIfTrue="1">
      <formula>AND(task_end&gt;=MM$5,task_start&lt;#REF!)</formula>
    </cfRule>
  </conditionalFormatting>
  <conditionalFormatting sqref="MM8:MM12">
    <cfRule type="expression" dxfId="28" priority="101" stopIfTrue="1">
      <formula>AND(task_end&gt;=MM$5,task_start&lt;MN$5)</formula>
    </cfRule>
    <cfRule type="expression" dxfId="27" priority="102">
      <formula>AND(TODAY()&gt;=MM$5,TODAY()&lt;MN$5)</formula>
    </cfRule>
  </conditionalFormatting>
  <conditionalFormatting sqref="MN5:MS41">
    <cfRule type="expression" dxfId="26" priority="104">
      <formula>AND(TODAY()&gt;=MN$5,TODAY()&lt;MO$5)</formula>
    </cfRule>
  </conditionalFormatting>
  <conditionalFormatting sqref="MN7:MS41">
    <cfRule type="expression" dxfId="25" priority="103" stopIfTrue="1">
      <formula>AND(task_end&gt;=MN$5,task_start&lt;MO$5)</formula>
    </cfRule>
  </conditionalFormatting>
  <conditionalFormatting sqref="MT5:MT7 MT13:MT41">
    <cfRule type="expression" dxfId="24" priority="105">
      <formula>AND(TODAY()&gt;=MT$5,TODAY()&lt;#REF!)</formula>
    </cfRule>
  </conditionalFormatting>
  <conditionalFormatting sqref="MT7 MT13:MT41">
    <cfRule type="expression" dxfId="23" priority="106" stopIfTrue="1">
      <formula>AND(task_end&gt;=MT$5,task_start&lt;#REF!)</formula>
    </cfRule>
  </conditionalFormatting>
  <conditionalFormatting sqref="MT8:MT12">
    <cfRule type="expression" dxfId="22" priority="98" stopIfTrue="1">
      <formula>AND(task_end&gt;=MT$5,task_start&lt;MU$5)</formula>
    </cfRule>
    <cfRule type="expression" dxfId="21" priority="99">
      <formula>AND(TODAY()&gt;=MT$5,TODAY()&lt;MU$5)</formula>
    </cfRule>
  </conditionalFormatting>
  <conditionalFormatting sqref="AU57:CD60">
    <cfRule type="expression" dxfId="20" priority="19">
      <formula>AND(task_start&lt;=AU$5,ROUNDDOWN((task_end-task_start+1)*task_progress,0)+task_start-1&gt;=AU$5)</formula>
    </cfRule>
    <cfRule type="expression" dxfId="19" priority="20" stopIfTrue="1">
      <formula>AND(task_end&gt;=AU$5,task_start&lt;AV$5)</formula>
    </cfRule>
    <cfRule type="expression" dxfId="18" priority="21">
      <formula>AND(TODAY()&gt;=AU$5,TODAY()&lt;AV$5)</formula>
    </cfRule>
  </conditionalFormatting>
  <conditionalFormatting sqref="CE57:DN60">
    <cfRule type="expression" dxfId="17" priority="16">
      <formula>AND(task_start&lt;=CE$5,ROUNDDOWN((task_end-task_start+1)*task_progress,0)+task_start-1&gt;=CE$5)</formula>
    </cfRule>
    <cfRule type="expression" dxfId="16" priority="17" stopIfTrue="1">
      <formula>AND(task_end&gt;=CE$5,task_start&lt;CF$5)</formula>
    </cfRule>
    <cfRule type="expression" dxfId="15" priority="18">
      <formula>AND(TODAY()&gt;=CE$5,TODAY()&lt;CF$5)</formula>
    </cfRule>
  </conditionalFormatting>
  <conditionalFormatting sqref="DO57:EX60">
    <cfRule type="expression" dxfId="14" priority="13">
      <formula>AND(task_start&lt;=DO$5,ROUNDDOWN((task_end-task_start+1)*task_progress,0)+task_start-1&gt;=DO$5)</formula>
    </cfRule>
    <cfRule type="expression" dxfId="13" priority="14" stopIfTrue="1">
      <formula>AND(task_end&gt;=DO$5,task_start&lt;DP$5)</formula>
    </cfRule>
    <cfRule type="expression" dxfId="12" priority="15">
      <formula>AND(TODAY()&gt;=DO$5,TODAY()&lt;DP$5)</formula>
    </cfRule>
  </conditionalFormatting>
  <conditionalFormatting sqref="EY57:FP60">
    <cfRule type="expression" dxfId="11" priority="10">
      <formula>AND(task_start&lt;=EY$5,ROUNDDOWN((task_end-task_start+1)*task_progress,0)+task_start-1&gt;=EY$5)</formula>
    </cfRule>
    <cfRule type="expression" dxfId="10" priority="11" stopIfTrue="1">
      <formula>AND(task_end&gt;=EY$5,task_start&lt;EZ$5)</formula>
    </cfRule>
    <cfRule type="expression" dxfId="9" priority="12">
      <formula>AND(TODAY()&gt;=EY$5,TODAY()&lt;EZ$5)</formula>
    </cfRule>
  </conditionalFormatting>
  <conditionalFormatting sqref="FQ57:HR60">
    <cfRule type="expression" dxfId="8" priority="7">
      <formula>AND(task_start&lt;=FQ$5,ROUNDDOWN((task_end-task_start+1)*task_progress,0)+task_start-1&gt;=FQ$5)</formula>
    </cfRule>
    <cfRule type="expression" dxfId="7" priority="8" stopIfTrue="1">
      <formula>AND(task_end&gt;=FQ$5,task_start&lt;FR$5)</formula>
    </cfRule>
    <cfRule type="expression" dxfId="6" priority="9">
      <formula>AND(TODAY()&gt;=FQ$5,TODAY()&lt;FR$5)</formula>
    </cfRule>
  </conditionalFormatting>
  <conditionalFormatting sqref="HS57:JB60">
    <cfRule type="expression" dxfId="5" priority="4">
      <formula>AND(task_start&lt;=HS$5,ROUNDDOWN((task_end-task_start+1)*task_progress,0)+task_start-1&gt;=HS$5)</formula>
    </cfRule>
    <cfRule type="expression" dxfId="4" priority="5" stopIfTrue="1">
      <formula>AND(task_end&gt;=HS$5,task_start&lt;HT$5)</formula>
    </cfRule>
    <cfRule type="expression" dxfId="3" priority="6">
      <formula>AND(TODAY()&gt;=HS$5,TODAY()&lt;HT$5)</formula>
    </cfRule>
  </conditionalFormatting>
  <conditionalFormatting sqref="JC57:KL60">
    <cfRule type="expression" dxfId="2" priority="1">
      <formula>AND(task_start&lt;=JC$5,ROUNDDOWN((task_end-task_start+1)*task_progress,0)+task_start-1&gt;=JC$5)</formula>
    </cfRule>
    <cfRule type="expression" dxfId="1" priority="2" stopIfTrue="1">
      <formula>AND(task_end&gt;=JC$5,task_start&lt;JD$5)</formula>
    </cfRule>
    <cfRule type="expression" dxfId="0" priority="3">
      <formula>AND(TODAY()&gt;=JC$5,TODAY()&lt;JD$5)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433070866141736" right="0.35433070866141736" top="0.35433070866141736" bottom="0.51181102362204722" header="0.31496062992125984" footer="0.31496062992125984"/>
  <pageSetup paperSize="9" scale="21" fitToHeight="0" pageOrder="overThenDown" orientation="landscape" r:id="rId1"/>
  <headerFooter differentFirst="1" scaleWithDoc="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D9463B37809F4B91864CEF6A05D930" ma:contentTypeVersion="3" ma:contentTypeDescription="Create a new document." ma:contentTypeScope="" ma:versionID="14e8d2ed1dbd7ec4f760107f1764c2b0">
  <xsd:schema xmlns:xsd="http://www.w3.org/2001/XMLSchema" xmlns:xs="http://www.w3.org/2001/XMLSchema" xmlns:p="http://schemas.microsoft.com/office/2006/metadata/properties" xmlns:ns2="56a05acc-85b4-4e5a-b72b-3c99120dfbf3" targetNamespace="http://schemas.microsoft.com/office/2006/metadata/properties" ma:root="true" ma:fieldsID="17cd539483dc105a972ad71ecd791b5b" ns2:_="">
    <xsd:import namespace="56a05acc-85b4-4e5a-b72b-3c99120dfbf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a05acc-85b4-4e5a-b72b-3c99120dfb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F48E6B-6BBE-4E4C-9CF4-0723BAA623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a05acc-85b4-4e5a-b72b-3c99120dfb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ProjectSchedule!Área_de_impresión</vt:lpstr>
      <vt:lpstr>Inicio_del_proyecto</vt:lpstr>
      <vt:lpstr>Semana_para_mostrar</vt:lpstr>
      <vt:lpstr>ProjectSchedule!task_end</vt:lpstr>
      <vt:lpstr>ProjectSchedule!task_start</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2025-11-15T19:50:10Z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0x010100C3D9463B37809F4B91864CEF6A05D930</vt:lpwstr>
  </property>
</Properties>
</file>